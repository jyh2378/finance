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h23\Documents\workspace\finance\ASSETS\"/>
    </mc:Choice>
  </mc:AlternateContent>
  <xr:revisionPtr revIDLastSave="0" documentId="13_ncr:1_{140CBB9E-1A7B-4404-8D9D-69F13CAF3CF1}" xr6:coauthVersionLast="47" xr6:coauthVersionMax="47" xr10:uidLastSave="{00000000-0000-0000-0000-000000000000}"/>
  <bookViews>
    <workbookView xWindow="3225" yWindow="2610" windowWidth="18675" windowHeight="15345" activeTab="1" xr2:uid="{3E5B00C6-160F-4190-94DC-72205BBEF6E5}"/>
  </bookViews>
  <sheets>
    <sheet name="TSLA" sheetId="1" r:id="rId1"/>
    <sheet name="NV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24" i="2"/>
  <c r="E24" i="2"/>
  <c r="F24" i="2"/>
  <c r="G24" i="2"/>
  <c r="H24" i="2"/>
  <c r="I24" i="2"/>
  <c r="J24" i="2"/>
  <c r="K24" i="2"/>
  <c r="L24" i="2"/>
  <c r="C25" i="2"/>
  <c r="D25" i="2"/>
  <c r="E25" i="2"/>
  <c r="F25" i="2"/>
  <c r="G25" i="2"/>
  <c r="H25" i="2"/>
  <c r="I25" i="2"/>
  <c r="J25" i="2"/>
  <c r="K25" i="2"/>
  <c r="L25" i="2"/>
  <c r="H22" i="2"/>
  <c r="C22" i="2"/>
  <c r="D23" i="2"/>
  <c r="E23" i="2"/>
  <c r="F23" i="2"/>
  <c r="G23" i="2"/>
  <c r="H23" i="2"/>
  <c r="I23" i="2"/>
  <c r="J23" i="2"/>
  <c r="K23" i="2"/>
  <c r="L23" i="2"/>
  <c r="G22" i="2"/>
  <c r="I22" i="2"/>
  <c r="C23" i="2"/>
  <c r="L28" i="2"/>
  <c r="B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K28" i="2"/>
  <c r="J28" i="2"/>
  <c r="I28" i="2"/>
  <c r="H28" i="2"/>
  <c r="G28" i="2"/>
  <c r="F28" i="2"/>
  <c r="E28" i="2"/>
  <c r="D28" i="2"/>
  <c r="C28" i="2"/>
  <c r="E22" i="2"/>
  <c r="D22" i="2"/>
  <c r="D26" i="2" s="1"/>
  <c r="D30" i="2" s="1"/>
  <c r="L21" i="2"/>
  <c r="K21" i="2"/>
  <c r="J21" i="2"/>
  <c r="I21" i="2"/>
  <c r="H21" i="2"/>
  <c r="G21" i="2"/>
  <c r="F21" i="2"/>
  <c r="E21" i="2"/>
  <c r="D21" i="2"/>
  <c r="C21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L15" i="2"/>
  <c r="B15" i="2" s="1"/>
  <c r="N15" i="2" s="1"/>
  <c r="O15" i="2" s="1"/>
  <c r="P15" i="2" s="1"/>
  <c r="Q15" i="2" s="1"/>
  <c r="R15" i="2" s="1"/>
  <c r="S15" i="2" s="1"/>
  <c r="T15" i="2" s="1"/>
  <c r="U15" i="2" s="1"/>
  <c r="V15" i="2" s="1"/>
  <c r="K15" i="2"/>
  <c r="J15" i="2"/>
  <c r="I15" i="2"/>
  <c r="H15" i="2"/>
  <c r="G15" i="2"/>
  <c r="F15" i="2"/>
  <c r="E15" i="2"/>
  <c r="D15" i="2"/>
  <c r="L11" i="2"/>
  <c r="K11" i="2"/>
  <c r="J11" i="2"/>
  <c r="I11" i="2"/>
  <c r="H11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M5" i="2" s="1"/>
  <c r="G5" i="2"/>
  <c r="F5" i="2"/>
  <c r="E5" i="2"/>
  <c r="D5" i="2"/>
  <c r="C5" i="2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5" i="1"/>
  <c r="D5" i="1"/>
  <c r="E5" i="1"/>
  <c r="F5" i="1"/>
  <c r="G5" i="1"/>
  <c r="H5" i="1"/>
  <c r="I5" i="1"/>
  <c r="J5" i="1"/>
  <c r="K5" i="1"/>
  <c r="L5" i="1"/>
  <c r="I11" i="1"/>
  <c r="J11" i="1"/>
  <c r="K11" i="1"/>
  <c r="L11" i="1"/>
  <c r="H11" i="1"/>
  <c r="C19" i="1"/>
  <c r="D19" i="1"/>
  <c r="E19" i="1"/>
  <c r="F19" i="1"/>
  <c r="G19" i="1"/>
  <c r="H19" i="1"/>
  <c r="I19" i="1"/>
  <c r="J19" i="1"/>
  <c r="K19" i="1"/>
  <c r="L19" i="1"/>
  <c r="D28" i="1"/>
  <c r="E28" i="1"/>
  <c r="F28" i="1"/>
  <c r="G28" i="1"/>
  <c r="H28" i="1"/>
  <c r="I28" i="1"/>
  <c r="J28" i="1"/>
  <c r="K28" i="1"/>
  <c r="L28" i="1"/>
  <c r="C28" i="1"/>
  <c r="C22" i="1"/>
  <c r="G22" i="1"/>
  <c r="H22" i="1"/>
  <c r="I22" i="1"/>
  <c r="E22" i="1"/>
  <c r="F22" i="1"/>
  <c r="D22" i="1"/>
  <c r="C21" i="1"/>
  <c r="D21" i="1"/>
  <c r="E21" i="1"/>
  <c r="F21" i="1"/>
  <c r="G21" i="1"/>
  <c r="H21" i="1"/>
  <c r="I21" i="1"/>
  <c r="J21" i="1"/>
  <c r="K21" i="1"/>
  <c r="L21" i="1"/>
  <c r="D18" i="1"/>
  <c r="E18" i="1"/>
  <c r="F18" i="1"/>
  <c r="G18" i="1"/>
  <c r="H18" i="1"/>
  <c r="I18" i="1"/>
  <c r="J18" i="1"/>
  <c r="K18" i="1"/>
  <c r="L18" i="1"/>
  <c r="C18" i="1"/>
  <c r="E15" i="1"/>
  <c r="F15" i="1"/>
  <c r="G15" i="1"/>
  <c r="H15" i="1"/>
  <c r="I15" i="1"/>
  <c r="J15" i="1"/>
  <c r="K15" i="1"/>
  <c r="L15" i="1"/>
  <c r="D15" i="1"/>
  <c r="B21" i="2" l="1"/>
  <c r="B18" i="2"/>
  <c r="F22" i="2"/>
  <c r="F26" i="2" s="1"/>
  <c r="F30" i="2" s="1"/>
  <c r="K22" i="2"/>
  <c r="L22" i="2"/>
  <c r="J22" i="2"/>
  <c r="H26" i="2"/>
  <c r="H30" i="2" s="1"/>
  <c r="I26" i="2"/>
  <c r="I30" i="2" s="1"/>
  <c r="K26" i="2"/>
  <c r="K30" i="2" s="1"/>
  <c r="J26" i="2"/>
  <c r="J30" i="2" s="1"/>
  <c r="M6" i="2"/>
  <c r="E26" i="2"/>
  <c r="E30" i="2" s="1"/>
  <c r="L26" i="2"/>
  <c r="L30" i="2" s="1"/>
  <c r="C26" i="2"/>
  <c r="C30" i="2" s="1"/>
  <c r="G26" i="2"/>
  <c r="G30" i="2" s="1"/>
  <c r="M7" i="2"/>
  <c r="M14" i="2"/>
  <c r="B21" i="1"/>
  <c r="F26" i="1"/>
  <c r="F30" i="1" s="1"/>
  <c r="E26" i="1"/>
  <c r="E30" i="1" s="1"/>
  <c r="M7" i="1"/>
  <c r="M5" i="1"/>
  <c r="B28" i="1"/>
  <c r="M28" i="1" s="1"/>
  <c r="N28" i="1" s="1"/>
  <c r="O28" i="1" s="1"/>
  <c r="M6" i="1"/>
  <c r="B18" i="1"/>
  <c r="I26" i="1"/>
  <c r="I30" i="1" s="1"/>
  <c r="H26" i="1"/>
  <c r="H30" i="1" s="1"/>
  <c r="G26" i="1"/>
  <c r="G30" i="1" s="1"/>
  <c r="M15" i="1"/>
  <c r="D26" i="1"/>
  <c r="D30" i="1" s="1"/>
  <c r="C26" i="1"/>
  <c r="C30" i="1" s="1"/>
  <c r="K22" i="1"/>
  <c r="K26" i="1" s="1"/>
  <c r="K30" i="1" s="1"/>
  <c r="L22" i="1"/>
  <c r="L26" i="1" s="1"/>
  <c r="L30" i="1" s="1"/>
  <c r="J22" i="1"/>
  <c r="J26" i="1" s="1"/>
  <c r="J30" i="1" s="1"/>
  <c r="M20" i="2" l="1"/>
  <c r="M27" i="2"/>
  <c r="M17" i="2"/>
  <c r="M19" i="2" s="1"/>
  <c r="M2" i="2"/>
  <c r="M23" i="2" s="1"/>
  <c r="M3" i="2"/>
  <c r="M24" i="2" s="1"/>
  <c r="M4" i="2"/>
  <c r="M25" i="2" s="1"/>
  <c r="N14" i="2"/>
  <c r="P28" i="1"/>
  <c r="N15" i="1"/>
  <c r="O15" i="1" s="1"/>
  <c r="P15" i="1" s="1"/>
  <c r="Q15" i="1" s="1"/>
  <c r="R15" i="1" s="1"/>
  <c r="S15" i="1" s="1"/>
  <c r="T15" i="1" s="1"/>
  <c r="U15" i="1" s="1"/>
  <c r="V15" i="1" s="1"/>
  <c r="M14" i="1"/>
  <c r="M27" i="1" s="1"/>
  <c r="N20" i="2" l="1"/>
  <c r="N27" i="2"/>
  <c r="N17" i="2"/>
  <c r="N19" i="2" s="1"/>
  <c r="N2" i="2"/>
  <c r="N23" i="2" s="1"/>
  <c r="N3" i="2"/>
  <c r="N24" i="2" s="1"/>
  <c r="O14" i="2"/>
  <c r="N4" i="2"/>
  <c r="N25" i="2" s="1"/>
  <c r="M22" i="2"/>
  <c r="M26" i="2" s="1"/>
  <c r="M30" i="2" s="1"/>
  <c r="Q28" i="1"/>
  <c r="M20" i="1"/>
  <c r="M17" i="1"/>
  <c r="M19" i="1" s="1"/>
  <c r="M4" i="1"/>
  <c r="M25" i="1" s="1"/>
  <c r="M3" i="1"/>
  <c r="M24" i="1" s="1"/>
  <c r="M2" i="1"/>
  <c r="M23" i="1" s="1"/>
  <c r="N14" i="1"/>
  <c r="N27" i="1" s="1"/>
  <c r="M31" i="2" l="1"/>
  <c r="O17" i="2"/>
  <c r="O19" i="2" s="1"/>
  <c r="O3" i="2"/>
  <c r="O24" i="2" s="1"/>
  <c r="P14" i="2"/>
  <c r="O4" i="2"/>
  <c r="O25" i="2" s="1"/>
  <c r="O20" i="2"/>
  <c r="O27" i="2"/>
  <c r="O2" i="2"/>
  <c r="O23" i="2" s="1"/>
  <c r="N22" i="2"/>
  <c r="N26" i="2" s="1"/>
  <c r="N30" i="2" s="1"/>
  <c r="N31" i="2" s="1"/>
  <c r="R28" i="1"/>
  <c r="N20" i="1"/>
  <c r="N17" i="1"/>
  <c r="N19" i="1" s="1"/>
  <c r="N3" i="1"/>
  <c r="N24" i="1" s="1"/>
  <c r="N2" i="1"/>
  <c r="N23" i="1" s="1"/>
  <c r="N4" i="1"/>
  <c r="N25" i="1" s="1"/>
  <c r="M22" i="1"/>
  <c r="M26" i="1" s="1"/>
  <c r="M30" i="1" s="1"/>
  <c r="O14" i="1"/>
  <c r="O27" i="1" s="1"/>
  <c r="O22" i="2" l="1"/>
  <c r="O26" i="2"/>
  <c r="O30" i="2" s="1"/>
  <c r="O31" i="2" s="1"/>
  <c r="P27" i="2"/>
  <c r="P3" i="2"/>
  <c r="P24" i="2" s="1"/>
  <c r="Q14" i="2"/>
  <c r="P4" i="2"/>
  <c r="P25" i="2" s="1"/>
  <c r="P20" i="2"/>
  <c r="P17" i="2"/>
  <c r="P19" i="2" s="1"/>
  <c r="P2" i="2"/>
  <c r="P23" i="2" s="1"/>
  <c r="N22" i="1"/>
  <c r="N26" i="1" s="1"/>
  <c r="N30" i="1" s="1"/>
  <c r="N31" i="1" s="1"/>
  <c r="M31" i="1"/>
  <c r="S28" i="1"/>
  <c r="O20" i="1"/>
  <c r="O17" i="1"/>
  <c r="O19" i="1" s="1"/>
  <c r="O3" i="1"/>
  <c r="O24" i="1" s="1"/>
  <c r="O2" i="1"/>
  <c r="O23" i="1" s="1"/>
  <c r="O4" i="1"/>
  <c r="O25" i="1" s="1"/>
  <c r="P14" i="1"/>
  <c r="P27" i="1" s="1"/>
  <c r="P22" i="2" l="1"/>
  <c r="Q27" i="2"/>
  <c r="Q17" i="2"/>
  <c r="Q19" i="2" s="1"/>
  <c r="Q3" i="2"/>
  <c r="Q24" i="2" s="1"/>
  <c r="R14" i="2"/>
  <c r="Q4" i="2"/>
  <c r="Q25" i="2" s="1"/>
  <c r="Q20" i="2"/>
  <c r="Q2" i="2"/>
  <c r="Q23" i="2" s="1"/>
  <c r="P26" i="2"/>
  <c r="P30" i="2" s="1"/>
  <c r="T28" i="1"/>
  <c r="P17" i="1"/>
  <c r="P19" i="1" s="1"/>
  <c r="P20" i="1"/>
  <c r="P3" i="1"/>
  <c r="P24" i="1" s="1"/>
  <c r="P2" i="1"/>
  <c r="P23" i="1" s="1"/>
  <c r="P4" i="1"/>
  <c r="P25" i="1" s="1"/>
  <c r="O22" i="1"/>
  <c r="O26" i="1" s="1"/>
  <c r="O30" i="1" s="1"/>
  <c r="Q14" i="1"/>
  <c r="Q27" i="1" s="1"/>
  <c r="Q22" i="2" l="1"/>
  <c r="P31" i="2"/>
  <c r="R27" i="2"/>
  <c r="R17" i="2"/>
  <c r="R19" i="2" s="1"/>
  <c r="R2" i="2"/>
  <c r="R23" i="2" s="1"/>
  <c r="S14" i="2"/>
  <c r="R4" i="2"/>
  <c r="R25" i="2" s="1"/>
  <c r="R20" i="2"/>
  <c r="R3" i="2"/>
  <c r="R24" i="2" s="1"/>
  <c r="Q26" i="2"/>
  <c r="Q30" i="2" s="1"/>
  <c r="Q31" i="2" s="1"/>
  <c r="O31" i="1"/>
  <c r="U28" i="1"/>
  <c r="Q17" i="1"/>
  <c r="Q19" i="1" s="1"/>
  <c r="Q20" i="1"/>
  <c r="Q4" i="1"/>
  <c r="Q25" i="1" s="1"/>
  <c r="Q3" i="1"/>
  <c r="Q24" i="1" s="1"/>
  <c r="Q2" i="1"/>
  <c r="Q23" i="1" s="1"/>
  <c r="P22" i="1"/>
  <c r="P26" i="1" s="1"/>
  <c r="P30" i="1" s="1"/>
  <c r="P31" i="1" s="1"/>
  <c r="R14" i="1"/>
  <c r="R27" i="1" s="1"/>
  <c r="S27" i="2" l="1"/>
  <c r="S17" i="2"/>
  <c r="S19" i="2" s="1"/>
  <c r="S20" i="2"/>
  <c r="S2" i="2"/>
  <c r="S23" i="2" s="1"/>
  <c r="S4" i="2"/>
  <c r="S25" i="2" s="1"/>
  <c r="S3" i="2"/>
  <c r="S24" i="2" s="1"/>
  <c r="T14" i="2"/>
  <c r="R22" i="2"/>
  <c r="R26" i="2" s="1"/>
  <c r="R30" i="2" s="1"/>
  <c r="Q22" i="1"/>
  <c r="Q26" i="1" s="1"/>
  <c r="Q30" i="1" s="1"/>
  <c r="Q31" i="1" s="1"/>
  <c r="V28" i="1"/>
  <c r="R20" i="1"/>
  <c r="R17" i="1"/>
  <c r="R19" i="1" s="1"/>
  <c r="R4" i="1"/>
  <c r="R25" i="1" s="1"/>
  <c r="R3" i="1"/>
  <c r="R24" i="1" s="1"/>
  <c r="R2" i="1"/>
  <c r="R23" i="1" s="1"/>
  <c r="S14" i="1"/>
  <c r="S27" i="1" s="1"/>
  <c r="R31" i="2" l="1"/>
  <c r="T2" i="2"/>
  <c r="T23" i="2" s="1"/>
  <c r="T3" i="2"/>
  <c r="T24" i="2" s="1"/>
  <c r="T20" i="2"/>
  <c r="T27" i="2"/>
  <c r="U14" i="2"/>
  <c r="T17" i="2"/>
  <c r="T19" i="2" s="1"/>
  <c r="T4" i="2"/>
  <c r="T25" i="2" s="1"/>
  <c r="S22" i="2"/>
  <c r="S26" i="2" s="1"/>
  <c r="S30" i="2" s="1"/>
  <c r="S31" i="2" s="1"/>
  <c r="S20" i="1"/>
  <c r="S17" i="1"/>
  <c r="S19" i="1" s="1"/>
  <c r="R22" i="1"/>
  <c r="R26" i="1" s="1"/>
  <c r="R30" i="1" s="1"/>
  <c r="S4" i="1"/>
  <c r="S25" i="1" s="1"/>
  <c r="S3" i="1"/>
  <c r="S24" i="1" s="1"/>
  <c r="S2" i="1"/>
  <c r="S23" i="1" s="1"/>
  <c r="S22" i="1" s="1"/>
  <c r="T14" i="1"/>
  <c r="T27" i="1" s="1"/>
  <c r="U3" i="2" l="1"/>
  <c r="U24" i="2" s="1"/>
  <c r="V14" i="2"/>
  <c r="U20" i="2"/>
  <c r="U4" i="2"/>
  <c r="U25" i="2" s="1"/>
  <c r="U27" i="2"/>
  <c r="U17" i="2"/>
  <c r="U19" i="2" s="1"/>
  <c r="U2" i="2"/>
  <c r="U23" i="2" s="1"/>
  <c r="U22" i="2" s="1"/>
  <c r="T22" i="2"/>
  <c r="T26" i="2" s="1"/>
  <c r="T30" i="2" s="1"/>
  <c r="T31" i="2" s="1"/>
  <c r="S26" i="1"/>
  <c r="S30" i="1" s="1"/>
  <c r="S31" i="1" s="1"/>
  <c r="R31" i="1"/>
  <c r="T20" i="1"/>
  <c r="T17" i="1"/>
  <c r="T19" i="1" s="1"/>
  <c r="T2" i="1"/>
  <c r="T23" i="1" s="1"/>
  <c r="T4" i="1"/>
  <c r="T25" i="1" s="1"/>
  <c r="T3" i="1"/>
  <c r="T24" i="1" s="1"/>
  <c r="U14" i="1"/>
  <c r="U27" i="1" s="1"/>
  <c r="U26" i="2" l="1"/>
  <c r="U30" i="2" s="1"/>
  <c r="U31" i="2" s="1"/>
  <c r="V3" i="2"/>
  <c r="V24" i="2" s="1"/>
  <c r="V4" i="2"/>
  <c r="V25" i="2" s="1"/>
  <c r="V20" i="2"/>
  <c r="V27" i="2"/>
  <c r="V17" i="2"/>
  <c r="V19" i="2" s="1"/>
  <c r="V2" i="2"/>
  <c r="V23" i="2" s="1"/>
  <c r="V22" i="2" s="1"/>
  <c r="U20" i="1"/>
  <c r="U17" i="1"/>
  <c r="U19" i="1" s="1"/>
  <c r="U2" i="1"/>
  <c r="U23" i="1" s="1"/>
  <c r="U4" i="1"/>
  <c r="U25" i="1" s="1"/>
  <c r="U3" i="1"/>
  <c r="U24" i="1" s="1"/>
  <c r="T22" i="1"/>
  <c r="T26" i="1" s="1"/>
  <c r="T30" i="1" s="1"/>
  <c r="V14" i="1"/>
  <c r="V27" i="1" s="1"/>
  <c r="V26" i="2" l="1"/>
  <c r="V30" i="2" s="1"/>
  <c r="T31" i="1"/>
  <c r="V20" i="1"/>
  <c r="V17" i="1"/>
  <c r="V19" i="1" s="1"/>
  <c r="V3" i="1"/>
  <c r="V24" i="1" s="1"/>
  <c r="V2" i="1"/>
  <c r="V23" i="1" s="1"/>
  <c r="V4" i="1"/>
  <c r="V25" i="1" s="1"/>
  <c r="U22" i="1"/>
  <c r="U26" i="1" s="1"/>
  <c r="U30" i="1" s="1"/>
  <c r="U31" i="1" s="1"/>
  <c r="W32" i="2" l="1"/>
  <c r="L32" i="2" s="1"/>
  <c r="V31" i="2"/>
  <c r="L31" i="2"/>
  <c r="V22" i="1"/>
  <c r="V26" i="1"/>
  <c r="V30" i="1" s="1"/>
  <c r="W32" i="1" s="1"/>
  <c r="L32" i="1" s="1"/>
  <c r="L33" i="2" l="1"/>
  <c r="L38" i="2" s="1"/>
  <c r="L40" i="2" s="1"/>
  <c r="V31" i="1"/>
  <c r="L31" i="1"/>
  <c r="L33" i="1" s="1"/>
  <c r="L38" i="1" s="1"/>
  <c r="L40" i="1" s="1"/>
</calcChain>
</file>

<file path=xl/sharedStrings.xml><?xml version="1.0" encoding="utf-8"?>
<sst xmlns="http://schemas.openxmlformats.org/spreadsheetml/2006/main" count="69" uniqueCount="36">
  <si>
    <t>매출액</t>
    <phoneticPr fontId="2" type="noConversion"/>
  </si>
  <si>
    <t>매출액 성장률</t>
    <phoneticPr fontId="2" type="noConversion"/>
  </si>
  <si>
    <t>영업이익</t>
    <phoneticPr fontId="2" type="noConversion"/>
  </si>
  <si>
    <t>가중치</t>
    <phoneticPr fontId="2" type="noConversion"/>
  </si>
  <si>
    <t>평균</t>
    <phoneticPr fontId="2" type="noConversion"/>
  </si>
  <si>
    <t>감가 &amp; 무형자산 상각</t>
    <phoneticPr fontId="2" type="noConversion"/>
  </si>
  <si>
    <t>재고자산</t>
    <phoneticPr fontId="2" type="noConversion"/>
  </si>
  <si>
    <t>매출채권</t>
    <phoneticPr fontId="2" type="noConversion"/>
  </si>
  <si>
    <t>매입채무</t>
    <phoneticPr fontId="2" type="noConversion"/>
  </si>
  <si>
    <t>재고자산 증감</t>
    <phoneticPr fontId="2" type="noConversion"/>
  </si>
  <si>
    <t>매출채권 증감</t>
    <phoneticPr fontId="2" type="noConversion"/>
  </si>
  <si>
    <t>매입채무 증감</t>
    <phoneticPr fontId="2" type="noConversion"/>
  </si>
  <si>
    <t>영업현금흐름</t>
    <phoneticPr fontId="2" type="noConversion"/>
  </si>
  <si>
    <t>CAPEX(유형+무형자산)</t>
    <phoneticPr fontId="2" type="noConversion"/>
  </si>
  <si>
    <t>상각 비율(매출 대비)</t>
    <phoneticPr fontId="2" type="noConversion"/>
  </si>
  <si>
    <t>CAPEX 비율(매출 대비)</t>
    <phoneticPr fontId="2" type="noConversion"/>
  </si>
  <si>
    <t>영업이익율</t>
    <phoneticPr fontId="2" type="noConversion"/>
  </si>
  <si>
    <t>운전자본 변동</t>
    <phoneticPr fontId="2" type="noConversion"/>
  </si>
  <si>
    <t>잉여현금흐름</t>
    <phoneticPr fontId="2" type="noConversion"/>
  </si>
  <si>
    <t>성장률 할인</t>
    <phoneticPr fontId="2" type="noConversion"/>
  </si>
  <si>
    <t>재고자산 비율(매출 대비)</t>
    <phoneticPr fontId="2" type="noConversion"/>
  </si>
  <si>
    <t>매출채권 비율(매출 대비)</t>
    <phoneticPr fontId="2" type="noConversion"/>
  </si>
  <si>
    <t>매입채무 비율(매출 대비)</t>
    <phoneticPr fontId="2" type="noConversion"/>
  </si>
  <si>
    <t>세후 영업이익(법인세)</t>
    <phoneticPr fontId="2" type="noConversion"/>
  </si>
  <si>
    <t>CAPEX 증가율</t>
    <phoneticPr fontId="2" type="noConversion"/>
  </si>
  <si>
    <t>FCF 현재 가치(할인율)</t>
    <phoneticPr fontId="2" type="noConversion"/>
  </si>
  <si>
    <t>TV 현재가치(영구성장률)</t>
    <phoneticPr fontId="2" type="noConversion"/>
  </si>
  <si>
    <t>예상 기업가치</t>
    <phoneticPr fontId="2" type="noConversion"/>
  </si>
  <si>
    <t>현금 &amp; 현금성자산</t>
    <phoneticPr fontId="2" type="noConversion"/>
  </si>
  <si>
    <t>단기금융상품</t>
    <phoneticPr fontId="2" type="noConversion"/>
  </si>
  <si>
    <t>차입금</t>
    <phoneticPr fontId="2" type="noConversion"/>
  </si>
  <si>
    <t>리스부채</t>
    <phoneticPr fontId="2" type="noConversion"/>
  </si>
  <si>
    <t>예상 시가총액</t>
    <phoneticPr fontId="2" type="noConversion"/>
  </si>
  <si>
    <t>유통주식수</t>
    <phoneticPr fontId="2" type="noConversion"/>
  </si>
  <si>
    <t>DCF 주당 가치</t>
    <phoneticPr fontId="2" type="noConversion"/>
  </si>
  <si>
    <t>순운전자본 변동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</si>
</sst>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9" fontId="0" fillId="0" borderId="0" xfId="1" applyFont="1" applyBorder="1">
      <alignment vertical="center"/>
    </xf>
    <xf numFmtId="9" fontId="0" fillId="0" borderId="9" xfId="1" applyFont="1" applyBorder="1">
      <alignment vertical="center"/>
    </xf>
    <xf numFmtId="176" fontId="0" fillId="0" borderId="0" xfId="1" applyNumberFormat="1" applyFont="1" applyBorder="1">
      <alignment vertical="center"/>
    </xf>
    <xf numFmtId="3" fontId="0" fillId="0" borderId="9" xfId="0" applyNumberFormat="1" applyBorder="1">
      <alignment vertical="center"/>
    </xf>
    <xf numFmtId="3" fontId="0" fillId="0" borderId="12" xfId="0" applyNumberFormat="1" applyBorder="1">
      <alignment vertical="center"/>
    </xf>
    <xf numFmtId="3" fontId="0" fillId="0" borderId="13" xfId="0" applyNumberFormat="1" applyBorder="1">
      <alignment vertical="center"/>
    </xf>
    <xf numFmtId="176" fontId="0" fillId="0" borderId="12" xfId="1" applyNumberFormat="1" applyFont="1" applyBorder="1">
      <alignment vertical="center"/>
    </xf>
    <xf numFmtId="176" fontId="0" fillId="0" borderId="13" xfId="1" applyNumberFormat="1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4" fillId="0" borderId="5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76" fontId="0" fillId="0" borderId="7" xfId="1" applyNumberFormat="1" applyFont="1" applyBorder="1">
      <alignment vertical="center"/>
    </xf>
    <xf numFmtId="176" fontId="0" fillId="0" borderId="16" xfId="1" applyNumberFormat="1" applyFont="1" applyBorder="1">
      <alignment vertical="center"/>
    </xf>
    <xf numFmtId="176" fontId="0" fillId="0" borderId="14" xfId="1" applyNumberFormat="1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3" xfId="0" applyFont="1" applyBorder="1">
      <alignment vertical="center"/>
    </xf>
    <xf numFmtId="176" fontId="0" fillId="0" borderId="0" xfId="1" applyNumberFormat="1" applyFont="1" applyFill="1" applyBorder="1">
      <alignment vertical="center"/>
    </xf>
    <xf numFmtId="0" fontId="3" fillId="0" borderId="18" xfId="0" applyFont="1" applyBorder="1">
      <alignment vertical="center"/>
    </xf>
    <xf numFmtId="3" fontId="0" fillId="0" borderId="18" xfId="0" applyNumberFormat="1" applyBorder="1">
      <alignment vertical="center"/>
    </xf>
    <xf numFmtId="176" fontId="0" fillId="0" borderId="18" xfId="1" applyNumberFormat="1" applyFont="1" applyBorder="1">
      <alignment vertical="center"/>
    </xf>
    <xf numFmtId="3" fontId="4" fillId="0" borderId="0" xfId="0" applyNumberFormat="1" applyFont="1">
      <alignment vertical="center"/>
    </xf>
    <xf numFmtId="9" fontId="0" fillId="0" borderId="0" xfId="0" applyNumberFormat="1">
      <alignment vertical="center"/>
    </xf>
    <xf numFmtId="0" fontId="0" fillId="0" borderId="16" xfId="1" applyNumberFormat="1" applyFont="1" applyBorder="1">
      <alignment vertical="center"/>
    </xf>
    <xf numFmtId="0" fontId="0" fillId="0" borderId="17" xfId="1" applyNumberFormat="1" applyFont="1" applyBorder="1">
      <alignment vertical="center"/>
    </xf>
    <xf numFmtId="9" fontId="0" fillId="0" borderId="12" xfId="0" applyNumberFormat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3" fillId="2" borderId="18" xfId="0" applyFont="1" applyFill="1" applyBorder="1">
      <alignment vertical="center"/>
    </xf>
    <xf numFmtId="3" fontId="0" fillId="2" borderId="0" xfId="0" applyNumberFormat="1" applyFill="1">
      <alignment vertical="center"/>
    </xf>
    <xf numFmtId="176" fontId="0" fillId="2" borderId="0" xfId="1" applyNumberFormat="1" applyFont="1" applyFill="1">
      <alignment vertical="center"/>
    </xf>
    <xf numFmtId="176" fontId="0" fillId="2" borderId="18" xfId="1" applyNumberFormat="1" applyFont="1" applyFill="1" applyBorder="1">
      <alignment vertical="center"/>
    </xf>
    <xf numFmtId="0" fontId="0" fillId="2" borderId="1" xfId="0" applyFill="1" applyBorder="1">
      <alignment vertical="center"/>
    </xf>
    <xf numFmtId="176" fontId="0" fillId="2" borderId="7" xfId="1" applyNumberFormat="1" applyFont="1" applyFill="1" applyBorder="1">
      <alignment vertical="center"/>
    </xf>
    <xf numFmtId="0" fontId="0" fillId="2" borderId="2" xfId="0" applyFill="1" applyBorder="1">
      <alignment vertical="center"/>
    </xf>
    <xf numFmtId="176" fontId="0" fillId="2" borderId="0" xfId="1" applyNumberFormat="1" applyFont="1" applyFill="1" applyBorder="1">
      <alignment vertical="center"/>
    </xf>
    <xf numFmtId="9" fontId="0" fillId="2" borderId="0" xfId="1" applyFont="1" applyFill="1" applyBorder="1">
      <alignment vertical="center"/>
    </xf>
    <xf numFmtId="9" fontId="0" fillId="2" borderId="9" xfId="1" applyFont="1" applyFill="1" applyBorder="1">
      <alignment vertical="center"/>
    </xf>
    <xf numFmtId="0" fontId="0" fillId="2" borderId="6" xfId="0" applyFill="1" applyBorder="1">
      <alignment vertical="center"/>
    </xf>
    <xf numFmtId="176" fontId="0" fillId="2" borderId="16" xfId="1" applyNumberFormat="1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4" xfId="0" applyFill="1" applyBorder="1">
      <alignment vertical="center"/>
    </xf>
    <xf numFmtId="176" fontId="0" fillId="2" borderId="12" xfId="1" applyNumberFormat="1" applyFont="1" applyFill="1" applyBorder="1">
      <alignment vertical="center"/>
    </xf>
    <xf numFmtId="176" fontId="0" fillId="2" borderId="13" xfId="1" applyNumberFormat="1" applyFont="1" applyFill="1" applyBorder="1">
      <alignment vertical="center"/>
    </xf>
    <xf numFmtId="0" fontId="0" fillId="2" borderId="5" xfId="0" applyFill="1" applyBorder="1">
      <alignment vertical="center"/>
    </xf>
    <xf numFmtId="176" fontId="0" fillId="2" borderId="14" xfId="1" applyNumberFormat="1" applyFont="1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3" fontId="0" fillId="2" borderId="9" xfId="0" applyNumberFormat="1" applyFill="1" applyBorder="1">
      <alignment vertical="center"/>
    </xf>
    <xf numFmtId="0" fontId="0" fillId="2" borderId="6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12" xfId="0" applyFill="1" applyBorder="1">
      <alignment vertical="center"/>
    </xf>
    <xf numFmtId="3" fontId="0" fillId="2" borderId="12" xfId="0" applyNumberFormat="1" applyFill="1" applyBorder="1">
      <alignment vertical="center"/>
    </xf>
    <xf numFmtId="3" fontId="0" fillId="2" borderId="13" xfId="0" applyNumberForma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3" fontId="4" fillId="2" borderId="0" xfId="0" applyNumberFormat="1" applyFont="1" applyFill="1">
      <alignment vertical="center"/>
    </xf>
    <xf numFmtId="176" fontId="0" fillId="2" borderId="0" xfId="0" applyNumberFormat="1" applyFill="1">
      <alignment vertical="center"/>
    </xf>
    <xf numFmtId="9" fontId="0" fillId="2" borderId="12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>
      <alignment vertical="center"/>
    </xf>
    <xf numFmtId="9" fontId="0" fillId="2" borderId="0" xfId="0" applyNumberFormat="1" applyFill="1">
      <alignment vertical="center"/>
    </xf>
    <xf numFmtId="0" fontId="0" fillId="0" borderId="16" xfId="1" applyNumberFormat="1" applyFont="1" applyFill="1" applyBorder="1">
      <alignment vertical="center"/>
    </xf>
    <xf numFmtId="3" fontId="0" fillId="0" borderId="16" xfId="0" applyNumberFormat="1" applyBorder="1">
      <alignment vertical="center"/>
    </xf>
    <xf numFmtId="3" fontId="0" fillId="0" borderId="17" xfId="0" applyNumberFormat="1" applyBorder="1">
      <alignment vertical="center"/>
    </xf>
    <xf numFmtId="3" fontId="0" fillId="0" borderId="16" xfId="1" applyNumberFormat="1" applyFont="1" applyFill="1" applyBorder="1">
      <alignment vertical="center"/>
    </xf>
    <xf numFmtId="3" fontId="0" fillId="0" borderId="17" xfId="1" applyNumberFormat="1" applyFont="1" applyFill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AF07-C193-487D-BF62-88D7274DF378}">
  <dimension ref="A1:W40"/>
  <sheetViews>
    <sheetView zoomScale="80" zoomScaleNormal="80" workbookViewId="0">
      <selection activeCell="B14" sqref="B14"/>
    </sheetView>
  </sheetViews>
  <sheetFormatPr defaultRowHeight="16.5" x14ac:dyDescent="0.3"/>
  <cols>
    <col min="1" max="1" width="21" customWidth="1"/>
    <col min="2" max="2" width="6.75" bestFit="1" customWidth="1"/>
    <col min="3" max="3" width="10.5" bestFit="1" customWidth="1"/>
    <col min="4" max="11" width="10" bestFit="1" customWidth="1"/>
    <col min="12" max="12" width="14.25" bestFit="1" customWidth="1"/>
    <col min="13" max="14" width="9" customWidth="1"/>
  </cols>
  <sheetData>
    <row r="1" spans="1:23" x14ac:dyDescent="0.3"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39">
        <v>2024</v>
      </c>
      <c r="M1" s="4">
        <v>2025</v>
      </c>
      <c r="N1" s="4">
        <v>2026</v>
      </c>
      <c r="O1" s="4">
        <v>2027</v>
      </c>
      <c r="P1" s="4">
        <v>2028</v>
      </c>
      <c r="Q1" s="4">
        <v>2029</v>
      </c>
      <c r="R1" s="4">
        <v>2030</v>
      </c>
      <c r="S1" s="4">
        <v>2031</v>
      </c>
      <c r="T1" s="4">
        <v>2032</v>
      </c>
      <c r="U1" s="4">
        <v>2033</v>
      </c>
      <c r="V1" s="4">
        <v>2034</v>
      </c>
    </row>
    <row r="2" spans="1:23" x14ac:dyDescent="0.3">
      <c r="A2" t="s">
        <v>6</v>
      </c>
      <c r="B2">
        <v>954</v>
      </c>
      <c r="C2" s="1">
        <v>1278</v>
      </c>
      <c r="D2" s="1">
        <v>2067</v>
      </c>
      <c r="E2" s="1">
        <v>2264</v>
      </c>
      <c r="F2" s="1">
        <v>3113</v>
      </c>
      <c r="G2" s="1">
        <v>3552</v>
      </c>
      <c r="H2" s="1">
        <v>4101</v>
      </c>
      <c r="I2" s="1">
        <v>5757</v>
      </c>
      <c r="J2" s="1">
        <v>12839</v>
      </c>
      <c r="K2" s="1">
        <v>13626</v>
      </c>
      <c r="L2" s="40">
        <v>12017</v>
      </c>
      <c r="M2" s="1">
        <f>M$14*$M5</f>
        <v>18580.217452584584</v>
      </c>
      <c r="N2" s="1">
        <f t="shared" ref="N2:V2" si="0">N$14*$M5</f>
        <v>26409.921087103728</v>
      </c>
      <c r="O2" s="1">
        <f t="shared" si="0"/>
        <v>37316.479018287129</v>
      </c>
      <c r="P2" s="1">
        <f t="shared" si="0"/>
        <v>52418.926771964398</v>
      </c>
      <c r="Q2" s="1">
        <f t="shared" si="0"/>
        <v>73209.232857371957</v>
      </c>
      <c r="R2" s="1">
        <f t="shared" si="0"/>
        <v>101664.63253931949</v>
      </c>
      <c r="S2" s="1">
        <f t="shared" si="0"/>
        <v>140389.93379878608</v>
      </c>
      <c r="T2" s="1">
        <f t="shared" si="0"/>
        <v>192796.65083964949</v>
      </c>
      <c r="U2" s="1">
        <f t="shared" si="0"/>
        <v>263327.0832468032</v>
      </c>
      <c r="V2" s="1">
        <f t="shared" si="0"/>
        <v>357732.88078387437</v>
      </c>
    </row>
    <row r="3" spans="1:23" x14ac:dyDescent="0.3">
      <c r="A3" t="s">
        <v>7</v>
      </c>
      <c r="B3" s="1">
        <v>227</v>
      </c>
      <c r="C3" s="1">
        <v>169</v>
      </c>
      <c r="D3" s="1">
        <v>499</v>
      </c>
      <c r="E3" s="1">
        <v>515</v>
      </c>
      <c r="F3" s="1">
        <v>949</v>
      </c>
      <c r="G3" s="1">
        <v>1324</v>
      </c>
      <c r="H3" s="1">
        <v>1886</v>
      </c>
      <c r="I3" s="1">
        <v>1913</v>
      </c>
      <c r="J3" s="1">
        <v>2952</v>
      </c>
      <c r="K3" s="1">
        <v>3508</v>
      </c>
      <c r="L3" s="40">
        <v>4418</v>
      </c>
      <c r="M3" s="1">
        <f t="shared" ref="M3:V3" si="1">M$14*$M6</f>
        <v>5687.7544778884094</v>
      </c>
      <c r="N3" s="1">
        <f t="shared" si="1"/>
        <v>8084.5742148705849</v>
      </c>
      <c r="O3" s="1">
        <f t="shared" si="1"/>
        <v>11423.27699753412</v>
      </c>
      <c r="P3" s="1">
        <f t="shared" si="1"/>
        <v>16046.420674795267</v>
      </c>
      <c r="Q3" s="1">
        <f t="shared" si="1"/>
        <v>22410.72490512592</v>
      </c>
      <c r="R3" s="1">
        <f t="shared" si="1"/>
        <v>31121.458639761939</v>
      </c>
      <c r="S3" s="1">
        <f t="shared" si="1"/>
        <v>42976.002657247038</v>
      </c>
      <c r="T3" s="1">
        <f t="shared" si="1"/>
        <v>59018.685703410098</v>
      </c>
      <c r="U3" s="1">
        <f t="shared" si="1"/>
        <v>80609.379341680265</v>
      </c>
      <c r="V3" s="1">
        <f t="shared" si="1"/>
        <v>109508.77188379553</v>
      </c>
    </row>
    <row r="4" spans="1:23" x14ac:dyDescent="0.3">
      <c r="A4" t="s">
        <v>8</v>
      </c>
      <c r="B4">
        <v>778</v>
      </c>
      <c r="C4">
        <v>916</v>
      </c>
      <c r="D4" s="1">
        <v>1860</v>
      </c>
      <c r="E4" s="1">
        <v>2390</v>
      </c>
      <c r="F4" s="1">
        <v>3405</v>
      </c>
      <c r="G4" s="1">
        <v>3771</v>
      </c>
      <c r="H4" s="1">
        <v>6051</v>
      </c>
      <c r="I4" s="1">
        <v>10025</v>
      </c>
      <c r="J4" s="1">
        <v>15255</v>
      </c>
      <c r="K4" s="1">
        <v>14431</v>
      </c>
      <c r="L4" s="40">
        <v>12474</v>
      </c>
      <c r="M4" s="1">
        <f t="shared" ref="M4:V4" si="2">M$14*$M7</f>
        <v>21989.432195954443</v>
      </c>
      <c r="N4" s="1">
        <f t="shared" si="2"/>
        <v>31255.77892332965</v>
      </c>
      <c r="O4" s="1">
        <f t="shared" si="2"/>
        <v>44163.540456854942</v>
      </c>
      <c r="P4" s="1">
        <f t="shared" si="2"/>
        <v>62037.079973812273</v>
      </c>
      <c r="Q4" s="1">
        <f t="shared" si="2"/>
        <v>86642.121715916044</v>
      </c>
      <c r="R4" s="1">
        <f t="shared" si="2"/>
        <v>120318.69646601019</v>
      </c>
      <c r="S4" s="1">
        <f t="shared" si="2"/>
        <v>166149.55869816866</v>
      </c>
      <c r="T4" s="1">
        <f t="shared" si="2"/>
        <v>228172.1886228972</v>
      </c>
      <c r="U4" s="1">
        <f t="shared" si="2"/>
        <v>311643.98679352162</v>
      </c>
      <c r="V4" s="1">
        <f t="shared" si="2"/>
        <v>423371.95171880076</v>
      </c>
    </row>
    <row r="5" spans="1:23" x14ac:dyDescent="0.3">
      <c r="A5" t="s">
        <v>20</v>
      </c>
      <c r="C5" s="2">
        <f>C2/C$14</f>
        <v>0.31586752347998021</v>
      </c>
      <c r="D5" s="2">
        <f t="shared" ref="D5:L5" si="3">D2/D$14</f>
        <v>0.29528571428571426</v>
      </c>
      <c r="E5" s="2">
        <f t="shared" si="3"/>
        <v>0.19253337868866399</v>
      </c>
      <c r="F5" s="2">
        <f t="shared" si="3"/>
        <v>0.1450538185545874</v>
      </c>
      <c r="G5" s="2">
        <f t="shared" si="3"/>
        <v>0.14451948897387909</v>
      </c>
      <c r="H5" s="2">
        <f t="shared" si="3"/>
        <v>0.13004185692541856</v>
      </c>
      <c r="I5" s="2">
        <f t="shared" si="3"/>
        <v>0.10696170782007691</v>
      </c>
      <c r="J5" s="2">
        <f t="shared" si="3"/>
        <v>0.15760722790994575</v>
      </c>
      <c r="K5" s="2">
        <f t="shared" si="3"/>
        <v>0.1408037365794178</v>
      </c>
      <c r="L5" s="41">
        <f t="shared" si="3"/>
        <v>0.12301156720237486</v>
      </c>
      <c r="M5" s="2">
        <f>SUMPRODUCT($H$11:$L$11,H5:L5)</f>
        <v>0.13300398257499702</v>
      </c>
    </row>
    <row r="6" spans="1:23" x14ac:dyDescent="0.3">
      <c r="A6" t="s">
        <v>21</v>
      </c>
      <c r="C6" s="2">
        <f t="shared" ref="C6:L6" si="4">C3/C$14</f>
        <v>4.1769649036085023E-2</v>
      </c>
      <c r="D6" s="2">
        <f t="shared" si="4"/>
        <v>7.1285714285714286E-2</v>
      </c>
      <c r="E6" s="2">
        <f t="shared" si="4"/>
        <v>4.3796241176970833E-2</v>
      </c>
      <c r="F6" s="2">
        <f t="shared" si="4"/>
        <v>4.4219747448860723E-2</v>
      </c>
      <c r="G6" s="2">
        <f t="shared" si="4"/>
        <v>5.3869314020668892E-2</v>
      </c>
      <c r="H6" s="2">
        <f t="shared" si="4"/>
        <v>5.9804667681380007E-2</v>
      </c>
      <c r="I6" s="2">
        <f t="shared" si="4"/>
        <v>3.5542426100366016E-2</v>
      </c>
      <c r="J6" s="2">
        <f t="shared" si="4"/>
        <v>3.62377550268837E-2</v>
      </c>
      <c r="K6" s="2">
        <f t="shared" si="4"/>
        <v>3.6249780413958439E-2</v>
      </c>
      <c r="L6" s="41">
        <f t="shared" si="4"/>
        <v>4.5224690347016074E-2</v>
      </c>
      <c r="M6" s="2">
        <f t="shared" ref="M6:M7" si="5">SUMPRODUCT($H$11:$L$11,H6:L6)</f>
        <v>4.0715023890245151E-2</v>
      </c>
    </row>
    <row r="7" spans="1:23" x14ac:dyDescent="0.3">
      <c r="A7" t="s">
        <v>22</v>
      </c>
      <c r="C7" s="2">
        <f t="shared" ref="C7:L7" si="6">C4/C$14</f>
        <v>0.22639644092931291</v>
      </c>
      <c r="D7" s="2">
        <f t="shared" si="6"/>
        <v>0.26571428571428574</v>
      </c>
      <c r="E7" s="2">
        <f t="shared" si="6"/>
        <v>0.20324857555914619</v>
      </c>
      <c r="F7" s="2">
        <f t="shared" si="6"/>
        <v>0.15865989469269839</v>
      </c>
      <c r="G7" s="2">
        <f t="shared" si="6"/>
        <v>0.1534298966555456</v>
      </c>
      <c r="H7" s="2">
        <f t="shared" si="6"/>
        <v>0.19187595129375951</v>
      </c>
      <c r="I7" s="2">
        <f t="shared" si="6"/>
        <v>0.18625866265351243</v>
      </c>
      <c r="J7" s="2">
        <f t="shared" si="6"/>
        <v>0.1872652279590484</v>
      </c>
      <c r="K7" s="2">
        <f t="shared" si="6"/>
        <v>0.14912217250679424</v>
      </c>
      <c r="L7" s="41">
        <f t="shared" si="6"/>
        <v>0.12768963046371173</v>
      </c>
      <c r="M7" s="2">
        <f t="shared" si="5"/>
        <v>0.15740838685491101</v>
      </c>
    </row>
    <row r="8" spans="1:23" x14ac:dyDescent="0.3">
      <c r="D8" s="1"/>
      <c r="E8" s="1"/>
      <c r="F8" s="1"/>
      <c r="G8" s="1"/>
      <c r="H8" s="1"/>
      <c r="I8" s="1"/>
      <c r="J8" s="1"/>
      <c r="K8" s="1"/>
      <c r="L8" s="1"/>
      <c r="M8" s="1"/>
    </row>
    <row r="9" spans="1:23" x14ac:dyDescent="0.3">
      <c r="D9" s="1"/>
      <c r="E9" s="1"/>
      <c r="F9" s="1"/>
      <c r="G9" s="1"/>
      <c r="H9" s="1"/>
      <c r="I9" s="1"/>
      <c r="J9" s="1"/>
      <c r="K9" s="1"/>
      <c r="L9" s="1"/>
      <c r="M9" s="1"/>
    </row>
    <row r="10" spans="1:23" x14ac:dyDescent="0.3">
      <c r="H10">
        <v>1</v>
      </c>
      <c r="I10">
        <v>2</v>
      </c>
      <c r="J10">
        <v>3</v>
      </c>
      <c r="K10">
        <v>4</v>
      </c>
      <c r="L10">
        <v>5</v>
      </c>
      <c r="M10">
        <v>1</v>
      </c>
      <c r="N10">
        <v>2</v>
      </c>
      <c r="O10">
        <v>3</v>
      </c>
      <c r="P10">
        <v>4</v>
      </c>
      <c r="Q10">
        <v>5</v>
      </c>
      <c r="R10">
        <v>6</v>
      </c>
      <c r="S10">
        <v>7</v>
      </c>
      <c r="T10">
        <v>8</v>
      </c>
      <c r="U10">
        <v>9</v>
      </c>
      <c r="V10">
        <v>10</v>
      </c>
      <c r="W10">
        <v>11</v>
      </c>
    </row>
    <row r="11" spans="1:23" x14ac:dyDescent="0.3">
      <c r="A11" t="s">
        <v>3</v>
      </c>
      <c r="H11">
        <f>H10/SUM($H$10:$L$10)</f>
        <v>6.6666666666666666E-2</v>
      </c>
      <c r="I11">
        <f t="shared" ref="I11:L11" si="7">I10/SUM($H$10:$L$10)</f>
        <v>0.13333333333333333</v>
      </c>
      <c r="J11">
        <f t="shared" si="7"/>
        <v>0.2</v>
      </c>
      <c r="K11">
        <f t="shared" si="7"/>
        <v>0.26666666666666666</v>
      </c>
      <c r="L11">
        <f t="shared" si="7"/>
        <v>0.33333333333333331</v>
      </c>
    </row>
    <row r="12" spans="1:23" x14ac:dyDescent="0.3">
      <c r="B12" t="s">
        <v>4</v>
      </c>
    </row>
    <row r="13" spans="1:23" ht="17.25" thickBot="1" x14ac:dyDescent="0.35">
      <c r="C13" s="4">
        <v>2015</v>
      </c>
      <c r="D13" s="4">
        <v>2016</v>
      </c>
      <c r="E13" s="4">
        <v>2017</v>
      </c>
      <c r="F13" s="4">
        <v>2018</v>
      </c>
      <c r="G13" s="4">
        <v>2019</v>
      </c>
      <c r="H13" s="4">
        <v>2020</v>
      </c>
      <c r="I13" s="4">
        <v>2021</v>
      </c>
      <c r="J13" s="4">
        <v>2022</v>
      </c>
      <c r="K13" s="4">
        <v>2023</v>
      </c>
      <c r="L13" s="4">
        <v>2024</v>
      </c>
      <c r="M13" s="4">
        <v>2025</v>
      </c>
      <c r="N13" s="4">
        <v>2026</v>
      </c>
      <c r="O13" s="4">
        <v>2027</v>
      </c>
      <c r="P13" s="4">
        <v>2028</v>
      </c>
      <c r="Q13" s="4">
        <v>2029</v>
      </c>
      <c r="R13" s="4">
        <v>2030</v>
      </c>
      <c r="S13" s="4">
        <v>2031</v>
      </c>
      <c r="T13" s="4">
        <v>2032</v>
      </c>
      <c r="U13" s="4">
        <v>2033</v>
      </c>
      <c r="V13" s="4">
        <v>2034</v>
      </c>
    </row>
    <row r="14" spans="1:23" x14ac:dyDescent="0.3">
      <c r="A14" s="5" t="s">
        <v>0</v>
      </c>
      <c r="B14" s="32"/>
      <c r="C14" s="13">
        <v>4046</v>
      </c>
      <c r="D14" s="13">
        <v>7000</v>
      </c>
      <c r="E14" s="13">
        <v>11759</v>
      </c>
      <c r="F14" s="13">
        <v>21461</v>
      </c>
      <c r="G14" s="13">
        <v>24578</v>
      </c>
      <c r="H14" s="13">
        <v>31536</v>
      </c>
      <c r="I14" s="13">
        <v>53823</v>
      </c>
      <c r="J14" s="13">
        <v>81462</v>
      </c>
      <c r="K14" s="13">
        <v>96773</v>
      </c>
      <c r="L14" s="14">
        <v>97690</v>
      </c>
      <c r="M14" s="1">
        <f>L14*(1+M15)</f>
        <v>139696.69999999998</v>
      </c>
      <c r="N14" s="1">
        <f t="shared" ref="N14:V14" si="8">M14*(1+N15)</f>
        <v>198564.88937999998</v>
      </c>
      <c r="O14" s="1">
        <f t="shared" si="8"/>
        <v>280566.62887703732</v>
      </c>
      <c r="P14" s="1">
        <f t="shared" si="8"/>
        <v>394115.46750043303</v>
      </c>
      <c r="Q14" s="1">
        <f t="shared" si="8"/>
        <v>550428.87769237615</v>
      </c>
      <c r="R14" s="1">
        <f t="shared" si="8"/>
        <v>764372.84486570768</v>
      </c>
      <c r="S14" s="1">
        <f t="shared" si="8"/>
        <v>1055531.8049940674</v>
      </c>
      <c r="T14" s="1">
        <f t="shared" si="8"/>
        <v>1449555.4727538866</v>
      </c>
      <c r="U14" s="1">
        <f t="shared" si="8"/>
        <v>1979843.5967759148</v>
      </c>
      <c r="V14" s="1">
        <f t="shared" si="8"/>
        <v>2689640.3690931536</v>
      </c>
    </row>
    <row r="15" spans="1:23" x14ac:dyDescent="0.3">
      <c r="A15" s="6" t="s">
        <v>1</v>
      </c>
      <c r="B15" s="17">
        <v>0.43</v>
      </c>
      <c r="C15" s="15"/>
      <c r="D15" s="15">
        <f>(D14-C14)/C14</f>
        <v>0.73010380622837368</v>
      </c>
      <c r="E15" s="15">
        <f t="shared" ref="E15:L15" si="9">(E14-D14)/D14</f>
        <v>0.67985714285714283</v>
      </c>
      <c r="F15" s="15">
        <f t="shared" si="9"/>
        <v>0.8250701590271281</v>
      </c>
      <c r="G15" s="15">
        <f t="shared" si="9"/>
        <v>0.14524020315921904</v>
      </c>
      <c r="H15" s="15">
        <f t="shared" si="9"/>
        <v>0.28309870615998045</v>
      </c>
      <c r="I15" s="15">
        <f t="shared" si="9"/>
        <v>0.70671613394216137</v>
      </c>
      <c r="J15" s="15">
        <f t="shared" si="9"/>
        <v>0.51351652639206291</v>
      </c>
      <c r="K15" s="15">
        <f t="shared" si="9"/>
        <v>0.18795266504627925</v>
      </c>
      <c r="L15" s="16">
        <f t="shared" si="9"/>
        <v>9.4757835346635944E-3</v>
      </c>
      <c r="M15" s="38">
        <f>B15</f>
        <v>0.43</v>
      </c>
      <c r="N15" s="38">
        <f>M15*(1-$B$16)</f>
        <v>0.4214</v>
      </c>
      <c r="O15" s="38">
        <f t="shared" ref="O15:V15" si="10">N15*(1-$B$16)</f>
        <v>0.41297200000000001</v>
      </c>
      <c r="P15" s="38">
        <f t="shared" si="10"/>
        <v>0.40471256</v>
      </c>
      <c r="Q15" s="38">
        <f t="shared" si="10"/>
        <v>0.39661830879999999</v>
      </c>
      <c r="R15" s="38">
        <f t="shared" si="10"/>
        <v>0.38868594262399997</v>
      </c>
      <c r="S15" s="38">
        <f t="shared" si="10"/>
        <v>0.38091222377151995</v>
      </c>
      <c r="T15" s="38">
        <f t="shared" si="10"/>
        <v>0.37329397929608954</v>
      </c>
      <c r="U15" s="38">
        <f t="shared" si="10"/>
        <v>0.36582809971016772</v>
      </c>
      <c r="V15" s="38">
        <f t="shared" si="10"/>
        <v>0.35851153771596433</v>
      </c>
    </row>
    <row r="16" spans="1:23" x14ac:dyDescent="0.3">
      <c r="A16" s="6" t="s">
        <v>19</v>
      </c>
      <c r="B16" s="17">
        <v>0.02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3" x14ac:dyDescent="0.3">
      <c r="A17" s="8" t="s">
        <v>2</v>
      </c>
      <c r="B17" s="33"/>
      <c r="C17" s="25">
        <v>-717</v>
      </c>
      <c r="D17" s="25">
        <v>-667</v>
      </c>
      <c r="E17" s="25">
        <v>-1632</v>
      </c>
      <c r="F17" s="25">
        <v>-253</v>
      </c>
      <c r="G17" s="25">
        <v>80</v>
      </c>
      <c r="H17" s="25">
        <v>1994</v>
      </c>
      <c r="I17" s="25">
        <v>6496</v>
      </c>
      <c r="J17" s="25">
        <v>13832</v>
      </c>
      <c r="K17" s="25">
        <v>8891</v>
      </c>
      <c r="L17" s="26">
        <v>7760</v>
      </c>
      <c r="M17" s="1">
        <f>M14*$B$18</f>
        <v>14702.406548336801</v>
      </c>
      <c r="N17" s="1">
        <f t="shared" ref="N17:V17" si="11">N14*$B$18</f>
        <v>20898.000667805929</v>
      </c>
      <c r="O17" s="1">
        <f t="shared" si="11"/>
        <v>29528.289799591079</v>
      </c>
      <c r="P17" s="1">
        <f t="shared" si="11"/>
        <v>41478.759556805475</v>
      </c>
      <c r="Q17" s="1">
        <f t="shared" si="11"/>
        <v>57929.995023347496</v>
      </c>
      <c r="R17" s="1">
        <f t="shared" si="11"/>
        <v>80446.569745200934</v>
      </c>
      <c r="S17" s="1">
        <f t="shared" si="11"/>
        <v>111089.6515216361</v>
      </c>
      <c r="T17" s="1">
        <f t="shared" si="11"/>
        <v>152558.74959676352</v>
      </c>
      <c r="U17" s="1">
        <f t="shared" si="11"/>
        <v>208369.02705590683</v>
      </c>
      <c r="V17" s="1">
        <f t="shared" si="11"/>
        <v>283071.72735809936</v>
      </c>
    </row>
    <row r="18" spans="1:23" x14ac:dyDescent="0.3">
      <c r="A18" s="7" t="s">
        <v>16</v>
      </c>
      <c r="B18" s="21">
        <f>SUMPRODUCT(H11:L11,H18:L18)</f>
        <v>0.10524519583022937</v>
      </c>
      <c r="C18" s="21">
        <f>C17/C14</f>
        <v>-0.17721206129510628</v>
      </c>
      <c r="D18" s="21">
        <f t="shared" ref="D18:L18" si="12">D17/D14</f>
        <v>-9.5285714285714279E-2</v>
      </c>
      <c r="E18" s="21">
        <f t="shared" si="12"/>
        <v>-0.13878731184624543</v>
      </c>
      <c r="F18" s="21">
        <f t="shared" si="12"/>
        <v>-1.1788826242952332E-2</v>
      </c>
      <c r="G18" s="21">
        <f t="shared" si="12"/>
        <v>3.2549434453576368E-3</v>
      </c>
      <c r="H18" s="21">
        <f t="shared" si="12"/>
        <v>6.3229325215626589E-2</v>
      </c>
      <c r="I18" s="21">
        <f t="shared" si="12"/>
        <v>0.12069189751593185</v>
      </c>
      <c r="J18" s="21">
        <f t="shared" si="12"/>
        <v>0.16979696054602145</v>
      </c>
      <c r="K18" s="21">
        <f t="shared" si="12"/>
        <v>9.1874799789197395E-2</v>
      </c>
      <c r="L18" s="22">
        <f t="shared" si="12"/>
        <v>7.9434947282219268E-2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9" t="s">
        <v>23</v>
      </c>
      <c r="B19" s="34">
        <v>0.2</v>
      </c>
      <c r="C19" s="23">
        <f>C17*(1-$B$19)</f>
        <v>-573.6</v>
      </c>
      <c r="D19" s="23">
        <f t="shared" ref="D19:L19" si="13">D17*(1-$B$19)</f>
        <v>-533.6</v>
      </c>
      <c r="E19" s="23">
        <f t="shared" si="13"/>
        <v>-1305.6000000000001</v>
      </c>
      <c r="F19" s="23">
        <f t="shared" si="13"/>
        <v>-202.4</v>
      </c>
      <c r="G19" s="23">
        <f t="shared" si="13"/>
        <v>64</v>
      </c>
      <c r="H19" s="23">
        <f t="shared" si="13"/>
        <v>1595.2</v>
      </c>
      <c r="I19" s="23">
        <f t="shared" si="13"/>
        <v>5196.8</v>
      </c>
      <c r="J19" s="23">
        <f t="shared" si="13"/>
        <v>11065.6</v>
      </c>
      <c r="K19" s="23">
        <f t="shared" si="13"/>
        <v>7112.8</v>
      </c>
      <c r="L19" s="24">
        <f t="shared" si="13"/>
        <v>6208</v>
      </c>
      <c r="M19" s="1">
        <f>M17*(1-$B$19)</f>
        <v>11761.925238669442</v>
      </c>
      <c r="N19" s="1">
        <f t="shared" ref="N19:V19" si="14">N17*(1-$B$19)</f>
        <v>16718.400534244745</v>
      </c>
      <c r="O19" s="1">
        <f t="shared" si="14"/>
        <v>23622.631839672864</v>
      </c>
      <c r="P19" s="1">
        <f t="shared" si="14"/>
        <v>33183.007645444384</v>
      </c>
      <c r="Q19" s="1">
        <f t="shared" si="14"/>
        <v>46343.996018678001</v>
      </c>
      <c r="R19" s="1">
        <f t="shared" si="14"/>
        <v>64357.255796160753</v>
      </c>
      <c r="S19" s="1">
        <f t="shared" si="14"/>
        <v>88871.721217308892</v>
      </c>
      <c r="T19" s="1">
        <f t="shared" si="14"/>
        <v>122046.99967741081</v>
      </c>
      <c r="U19" s="1">
        <f t="shared" si="14"/>
        <v>166695.22164472548</v>
      </c>
      <c r="V19" s="1">
        <f t="shared" si="14"/>
        <v>226457.3818864795</v>
      </c>
    </row>
    <row r="20" spans="1:23" x14ac:dyDescent="0.3">
      <c r="A20" s="6" t="s">
        <v>5</v>
      </c>
      <c r="C20">
        <v>423</v>
      </c>
      <c r="D20">
        <v>947</v>
      </c>
      <c r="E20" s="1">
        <v>1636</v>
      </c>
      <c r="F20" s="1">
        <v>1901</v>
      </c>
      <c r="G20" s="1">
        <v>2154</v>
      </c>
      <c r="H20" s="1">
        <v>2322</v>
      </c>
      <c r="I20" s="1">
        <v>2911</v>
      </c>
      <c r="J20" s="1">
        <v>3747</v>
      </c>
      <c r="K20" s="1">
        <v>4667</v>
      </c>
      <c r="L20" s="18">
        <v>5368</v>
      </c>
      <c r="M20" s="1">
        <f>M14*$B$21</f>
        <v>7333.5358438660396</v>
      </c>
      <c r="N20" s="1">
        <f t="shared" ref="N20:V20" si="15">N14*$B$21</f>
        <v>10423.887848471189</v>
      </c>
      <c r="O20" s="1">
        <f t="shared" si="15"/>
        <v>14728.661661030032</v>
      </c>
      <c r="P20" s="1">
        <f t="shared" si="15"/>
        <v>20689.536027239348</v>
      </c>
      <c r="Q20" s="1">
        <f t="shared" si="15"/>
        <v>28895.384816219692</v>
      </c>
      <c r="R20" s="1">
        <f t="shared" si="15"/>
        <v>40126.614700995255</v>
      </c>
      <c r="S20" s="1">
        <f t="shared" si="15"/>
        <v>55411.332739174322</v>
      </c>
      <c r="T20" s="1">
        <f t="shared" si="15"/>
        <v>76096.049635480376</v>
      </c>
      <c r="U20" s="1">
        <f t="shared" si="15"/>
        <v>103934.12286907877</v>
      </c>
      <c r="V20" s="1">
        <f t="shared" si="15"/>
        <v>141195.70508003217</v>
      </c>
    </row>
    <row r="21" spans="1:23" x14ac:dyDescent="0.3">
      <c r="A21" s="7" t="s">
        <v>14</v>
      </c>
      <c r="B21" s="21">
        <f>SUMPRODUCT(H11:L11,H21:L21)</f>
        <v>5.2496127996338071E-2</v>
      </c>
      <c r="C21" s="21">
        <f t="shared" ref="C21:L21" si="16">C20/C14</f>
        <v>0.10454770143351458</v>
      </c>
      <c r="D21" s="21">
        <f t="shared" si="16"/>
        <v>0.13528571428571429</v>
      </c>
      <c r="E21" s="21">
        <f t="shared" si="16"/>
        <v>0.13912747682626073</v>
      </c>
      <c r="F21" s="21">
        <f t="shared" si="16"/>
        <v>8.8579283351195193E-2</v>
      </c>
      <c r="G21" s="21">
        <f t="shared" si="16"/>
        <v>8.7639352266254369E-2</v>
      </c>
      <c r="H21" s="21">
        <f t="shared" si="16"/>
        <v>7.3630136986301373E-2</v>
      </c>
      <c r="I21" s="21">
        <f t="shared" si="16"/>
        <v>5.4084684985972541E-2</v>
      </c>
      <c r="J21" s="21">
        <f t="shared" si="16"/>
        <v>4.5996906533107458E-2</v>
      </c>
      <c r="K21" s="21">
        <f t="shared" si="16"/>
        <v>4.822626145722464E-2</v>
      </c>
      <c r="L21" s="22">
        <f t="shared" si="16"/>
        <v>5.4949329511720747E-2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3" x14ac:dyDescent="0.3">
      <c r="A22" s="6" t="s">
        <v>17</v>
      </c>
      <c r="B22" s="34"/>
      <c r="C22" s="23">
        <f>C23+C24-C25</f>
        <v>128</v>
      </c>
      <c r="D22" s="23">
        <f>D23+D24-D25</f>
        <v>175</v>
      </c>
      <c r="E22" s="23">
        <f t="shared" ref="E22:L22" si="17">E23+E24-E25</f>
        <v>-317</v>
      </c>
      <c r="F22" s="23">
        <f t="shared" si="17"/>
        <v>268</v>
      </c>
      <c r="G22" s="23">
        <f t="shared" si="17"/>
        <v>448</v>
      </c>
      <c r="H22" s="23">
        <f t="shared" si="17"/>
        <v>-1169</v>
      </c>
      <c r="I22" s="23">
        <f t="shared" si="17"/>
        <v>-2291</v>
      </c>
      <c r="J22" s="23">
        <f t="shared" si="17"/>
        <v>2891</v>
      </c>
      <c r="K22" s="23">
        <f t="shared" si="17"/>
        <v>2167</v>
      </c>
      <c r="L22" s="24">
        <f t="shared" si="17"/>
        <v>1258</v>
      </c>
      <c r="M22" s="1">
        <f>M23+M24-M25</f>
        <v>-1682.4602654814498</v>
      </c>
      <c r="N22" s="1">
        <f t="shared" ref="N22:V22" si="18">N23+N24-N25</f>
        <v>960.17664412611339</v>
      </c>
      <c r="O22" s="1">
        <f t="shared" si="18"/>
        <v>1337.4991803216435</v>
      </c>
      <c r="P22" s="1">
        <f t="shared" si="18"/>
        <v>1852.0519139810858</v>
      </c>
      <c r="Q22" s="1">
        <f t="shared" si="18"/>
        <v>2549.5685736344421</v>
      </c>
      <c r="R22" s="1">
        <f t="shared" si="18"/>
        <v>3489.5586664893926</v>
      </c>
      <c r="S22" s="1">
        <f t="shared" si="18"/>
        <v>4748.9830447932181</v>
      </c>
      <c r="T22" s="1">
        <f t="shared" si="18"/>
        <v>6426.7701622979366</v>
      </c>
      <c r="U22" s="1">
        <f t="shared" si="18"/>
        <v>8649.3278747994627</v>
      </c>
      <c r="V22" s="1">
        <f t="shared" si="18"/>
        <v>11577.225153907289</v>
      </c>
    </row>
    <row r="23" spans="1:23" x14ac:dyDescent="0.3">
      <c r="A23" s="10" t="s">
        <v>9</v>
      </c>
      <c r="C23" s="1">
        <v>324</v>
      </c>
      <c r="D23" s="1">
        <v>789</v>
      </c>
      <c r="E23" s="1">
        <v>197</v>
      </c>
      <c r="F23" s="1">
        <v>849</v>
      </c>
      <c r="G23" s="1">
        <v>439</v>
      </c>
      <c r="H23" s="1">
        <v>549</v>
      </c>
      <c r="I23" s="1">
        <v>1656</v>
      </c>
      <c r="J23" s="1">
        <v>7082</v>
      </c>
      <c r="K23" s="1">
        <v>787</v>
      </c>
      <c r="L23" s="18">
        <v>-1609</v>
      </c>
      <c r="M23" s="1">
        <f>M2-L2</f>
        <v>6563.217452584584</v>
      </c>
      <c r="N23" s="1">
        <f t="shared" ref="N23:V23" si="19">N2-M2</f>
        <v>7829.7036345191445</v>
      </c>
      <c r="O23" s="1">
        <f t="shared" si="19"/>
        <v>10906.557931183401</v>
      </c>
      <c r="P23" s="1">
        <f t="shared" si="19"/>
        <v>15102.447753677268</v>
      </c>
      <c r="Q23" s="1">
        <f t="shared" si="19"/>
        <v>20790.306085407559</v>
      </c>
      <c r="R23" s="1">
        <f t="shared" si="19"/>
        <v>28455.399681947529</v>
      </c>
      <c r="S23" s="1">
        <f t="shared" si="19"/>
        <v>38725.301259466592</v>
      </c>
      <c r="T23" s="1">
        <f t="shared" si="19"/>
        <v>52406.717040863412</v>
      </c>
      <c r="U23" s="1">
        <f t="shared" si="19"/>
        <v>70530.432407153712</v>
      </c>
      <c r="V23" s="1">
        <f t="shared" si="19"/>
        <v>94405.797537071165</v>
      </c>
    </row>
    <row r="24" spans="1:23" x14ac:dyDescent="0.3">
      <c r="A24" s="11" t="s">
        <v>10</v>
      </c>
      <c r="C24" s="1">
        <v>-58</v>
      </c>
      <c r="D24" s="1">
        <v>330</v>
      </c>
      <c r="E24" s="1">
        <v>16</v>
      </c>
      <c r="F24" s="1">
        <v>434</v>
      </c>
      <c r="G24" s="1">
        <v>375</v>
      </c>
      <c r="H24" s="1">
        <v>562</v>
      </c>
      <c r="I24" s="1">
        <v>27</v>
      </c>
      <c r="J24" s="1">
        <v>1039</v>
      </c>
      <c r="K24" s="1">
        <v>556</v>
      </c>
      <c r="L24" s="18">
        <v>910</v>
      </c>
      <c r="M24" s="1">
        <f t="shared" ref="M24:V24" si="20">M3-L3</f>
        <v>1269.7544778884094</v>
      </c>
      <c r="N24" s="1">
        <f t="shared" si="20"/>
        <v>2396.8197369821755</v>
      </c>
      <c r="O24" s="1">
        <f t="shared" si="20"/>
        <v>3338.7027826635349</v>
      </c>
      <c r="P24" s="1">
        <f t="shared" si="20"/>
        <v>4623.1436772611469</v>
      </c>
      <c r="Q24" s="1">
        <f t="shared" si="20"/>
        <v>6364.3042303306538</v>
      </c>
      <c r="R24" s="1">
        <f t="shared" si="20"/>
        <v>8710.7337346360182</v>
      </c>
      <c r="S24" s="1">
        <f t="shared" si="20"/>
        <v>11854.544017485099</v>
      </c>
      <c r="T24" s="1">
        <f t="shared" si="20"/>
        <v>16042.68304616306</v>
      </c>
      <c r="U24" s="1">
        <f t="shared" si="20"/>
        <v>21590.693638270168</v>
      </c>
      <c r="V24" s="1">
        <f t="shared" si="20"/>
        <v>28899.392542115267</v>
      </c>
    </row>
    <row r="25" spans="1:23" x14ac:dyDescent="0.3">
      <c r="A25" s="12" t="s">
        <v>11</v>
      </c>
      <c r="B25" s="30"/>
      <c r="C25" s="19">
        <v>138</v>
      </c>
      <c r="D25" s="19">
        <v>944</v>
      </c>
      <c r="E25" s="19">
        <v>530</v>
      </c>
      <c r="F25" s="19">
        <v>1015</v>
      </c>
      <c r="G25" s="19">
        <v>366</v>
      </c>
      <c r="H25" s="19">
        <v>2280</v>
      </c>
      <c r="I25" s="19">
        <v>3974</v>
      </c>
      <c r="J25" s="19">
        <v>5230</v>
      </c>
      <c r="K25" s="19">
        <v>-824</v>
      </c>
      <c r="L25" s="20">
        <v>-1957</v>
      </c>
      <c r="M25" s="1">
        <f t="shared" ref="M25:V25" si="21">M4-L4</f>
        <v>9515.4321959544432</v>
      </c>
      <c r="N25" s="1">
        <f t="shared" si="21"/>
        <v>9266.3467273752067</v>
      </c>
      <c r="O25" s="1">
        <f t="shared" si="21"/>
        <v>12907.761533525292</v>
      </c>
      <c r="P25" s="1">
        <f t="shared" si="21"/>
        <v>17873.539516957331</v>
      </c>
      <c r="Q25" s="1">
        <f t="shared" si="21"/>
        <v>24605.041742103771</v>
      </c>
      <c r="R25" s="1">
        <f t="shared" si="21"/>
        <v>33676.574750094151</v>
      </c>
      <c r="S25" s="1">
        <f t="shared" si="21"/>
        <v>45830.86223215847</v>
      </c>
      <c r="T25" s="1">
        <f t="shared" si="21"/>
        <v>62022.629924728535</v>
      </c>
      <c r="U25" s="1">
        <f t="shared" si="21"/>
        <v>83471.798170624417</v>
      </c>
      <c r="V25" s="1">
        <f t="shared" si="21"/>
        <v>111727.96492527914</v>
      </c>
    </row>
    <row r="26" spans="1:23" x14ac:dyDescent="0.3">
      <c r="A26" s="27" t="s">
        <v>12</v>
      </c>
      <c r="B26" s="28"/>
      <c r="C26" s="28">
        <f>C19+C20-C22</f>
        <v>-278.60000000000002</v>
      </c>
      <c r="D26" s="28">
        <f t="shared" ref="D26:L26" si="22">D19+D20-D22</f>
        <v>238.39999999999998</v>
      </c>
      <c r="E26" s="28">
        <f t="shared" si="22"/>
        <v>647.39999999999986</v>
      </c>
      <c r="F26" s="28">
        <f t="shared" si="22"/>
        <v>1430.6</v>
      </c>
      <c r="G26" s="28">
        <f t="shared" si="22"/>
        <v>1770</v>
      </c>
      <c r="H26" s="28">
        <f t="shared" si="22"/>
        <v>5086.2</v>
      </c>
      <c r="I26" s="28">
        <f t="shared" si="22"/>
        <v>10398.799999999999</v>
      </c>
      <c r="J26" s="28">
        <f t="shared" si="22"/>
        <v>11921.6</v>
      </c>
      <c r="K26" s="28">
        <f t="shared" si="22"/>
        <v>9612.7999999999993</v>
      </c>
      <c r="L26" s="29">
        <f t="shared" si="22"/>
        <v>10318</v>
      </c>
      <c r="M26" s="42">
        <f t="shared" ref="M26:V26" si="23">M19+M20-M22</f>
        <v>20777.921348016935</v>
      </c>
      <c r="N26" s="42">
        <f t="shared" si="23"/>
        <v>26182.111738589821</v>
      </c>
      <c r="O26" s="42">
        <f t="shared" si="23"/>
        <v>37013.794320381247</v>
      </c>
      <c r="P26" s="42">
        <f t="shared" si="23"/>
        <v>52020.49175870265</v>
      </c>
      <c r="Q26" s="42">
        <f t="shared" si="23"/>
        <v>72689.812261263243</v>
      </c>
      <c r="R26" s="42">
        <f t="shared" si="23"/>
        <v>100994.31183066661</v>
      </c>
      <c r="S26" s="42">
        <f t="shared" si="23"/>
        <v>139534.07091168998</v>
      </c>
      <c r="T26" s="42">
        <f t="shared" si="23"/>
        <v>191716.27915059327</v>
      </c>
      <c r="U26" s="42">
        <f t="shared" si="23"/>
        <v>261980.01663900478</v>
      </c>
      <c r="V26" s="42">
        <f t="shared" si="23"/>
        <v>356075.86181260436</v>
      </c>
    </row>
    <row r="27" spans="1:23" x14ac:dyDescent="0.3">
      <c r="A27" s="8" t="s">
        <v>13</v>
      </c>
      <c r="B27" s="25"/>
      <c r="C27" s="44">
        <v>1635</v>
      </c>
      <c r="D27" s="44">
        <v>1440</v>
      </c>
      <c r="E27" s="44">
        <v>4081</v>
      </c>
      <c r="F27" s="44">
        <v>2319</v>
      </c>
      <c r="G27" s="44">
        <v>1437</v>
      </c>
      <c r="H27" s="44">
        <v>3242</v>
      </c>
      <c r="I27" s="44">
        <v>7742</v>
      </c>
      <c r="J27" s="44">
        <v>7163</v>
      </c>
      <c r="K27" s="44">
        <v>8899</v>
      </c>
      <c r="L27" s="45">
        <v>11342</v>
      </c>
      <c r="M27" s="1">
        <f>M14*M28</f>
        <v>14925.364944263103</v>
      </c>
      <c r="N27" s="1">
        <f t="shared" ref="N27:V27" si="24">N14*N28</f>
        <v>21427.06286909333</v>
      </c>
      <c r="O27" s="1">
        <f t="shared" si="24"/>
        <v>30578.598275031229</v>
      </c>
      <c r="P27" s="1">
        <f t="shared" si="24"/>
        <v>43383.682474772009</v>
      </c>
      <c r="Q27" s="1">
        <f t="shared" si="24"/>
        <v>61196.349699906612</v>
      </c>
      <c r="R27" s="1">
        <f t="shared" si="24"/>
        <v>85832.335673844369</v>
      </c>
      <c r="S27" s="1">
        <f t="shared" si="24"/>
        <v>119712.19074214071</v>
      </c>
      <c r="T27" s="1">
        <f t="shared" si="24"/>
        <v>166044.03110247216</v>
      </c>
      <c r="U27" s="1">
        <f t="shared" si="24"/>
        <v>229055.4795035946</v>
      </c>
      <c r="V27" s="1">
        <f t="shared" si="24"/>
        <v>314286.25679952285</v>
      </c>
    </row>
    <row r="28" spans="1:23" x14ac:dyDescent="0.3">
      <c r="A28" s="6" t="s">
        <v>15</v>
      </c>
      <c r="B28" s="17">
        <f>SUMPRODUCT(H11:L11,H28:L28)</f>
        <v>0.10684121345932369</v>
      </c>
      <c r="C28" s="15">
        <f t="shared" ref="C28:L28" si="25">C27/C14</f>
        <v>0.40410281759762728</v>
      </c>
      <c r="D28" s="15">
        <f t="shared" si="25"/>
        <v>0.20571428571428571</v>
      </c>
      <c r="E28" s="15">
        <f t="shared" si="25"/>
        <v>0.34705332086061741</v>
      </c>
      <c r="F28" s="15">
        <f t="shared" si="25"/>
        <v>0.1080564745352034</v>
      </c>
      <c r="G28" s="15">
        <f t="shared" si="25"/>
        <v>5.8466921637236553E-2</v>
      </c>
      <c r="H28" s="15">
        <f t="shared" si="25"/>
        <v>0.10280314561136479</v>
      </c>
      <c r="I28" s="15">
        <f t="shared" si="25"/>
        <v>0.14384185199635843</v>
      </c>
      <c r="J28" s="15">
        <f t="shared" si="25"/>
        <v>8.7930568854189678E-2</v>
      </c>
      <c r="K28" s="15">
        <f t="shared" si="25"/>
        <v>9.1957467475432195E-2</v>
      </c>
      <c r="L28" s="16">
        <f t="shared" si="25"/>
        <v>0.11610195516429522</v>
      </c>
      <c r="M28" s="3">
        <f>B28</f>
        <v>0.10684121345932369</v>
      </c>
      <c r="N28" s="3">
        <f>M28*(1+$B$29)</f>
        <v>0.10790962559391694</v>
      </c>
      <c r="O28" s="3">
        <f t="shared" ref="O28:V28" si="26">N28*(1+$B$29)</f>
        <v>0.10898872184985611</v>
      </c>
      <c r="P28" s="3">
        <f t="shared" si="26"/>
        <v>0.11007860906835468</v>
      </c>
      <c r="Q28" s="3">
        <f t="shared" si="26"/>
        <v>0.11117939515903823</v>
      </c>
      <c r="R28" s="3">
        <f t="shared" si="26"/>
        <v>0.11229118911062862</v>
      </c>
      <c r="S28" s="3">
        <f t="shared" si="26"/>
        <v>0.11341410100173491</v>
      </c>
      <c r="T28" s="3">
        <f t="shared" si="26"/>
        <v>0.11454824201175226</v>
      </c>
      <c r="U28" s="3">
        <f t="shared" si="26"/>
        <v>0.11569372443186979</v>
      </c>
      <c r="V28" s="3">
        <f t="shared" si="26"/>
        <v>0.11685066167618849</v>
      </c>
    </row>
    <row r="29" spans="1:23" x14ac:dyDescent="0.3">
      <c r="A29" s="7" t="s">
        <v>24</v>
      </c>
      <c r="B29" s="46">
        <v>0.01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23" ht="17.25" thickBot="1" x14ac:dyDescent="0.35">
      <c r="A30" s="37" t="s">
        <v>18</v>
      </c>
      <c r="B30" s="35"/>
      <c r="C30" s="35">
        <f>C26-C27</f>
        <v>-1913.6</v>
      </c>
      <c r="D30" s="35">
        <f t="shared" ref="D30:L30" si="27">D26-D27</f>
        <v>-1201.5999999999999</v>
      </c>
      <c r="E30" s="35">
        <f t="shared" si="27"/>
        <v>-3433.6000000000004</v>
      </c>
      <c r="F30" s="35">
        <f t="shared" si="27"/>
        <v>-888.40000000000009</v>
      </c>
      <c r="G30" s="35">
        <f t="shared" si="27"/>
        <v>333</v>
      </c>
      <c r="H30" s="35">
        <f t="shared" si="27"/>
        <v>1844.1999999999998</v>
      </c>
      <c r="I30" s="35">
        <f t="shared" si="27"/>
        <v>2656.7999999999993</v>
      </c>
      <c r="J30" s="35">
        <f t="shared" si="27"/>
        <v>4758.6000000000004</v>
      </c>
      <c r="K30" s="35">
        <f t="shared" si="27"/>
        <v>713.79999999999927</v>
      </c>
      <c r="L30" s="36">
        <f t="shared" si="27"/>
        <v>-1024</v>
      </c>
      <c r="M30" s="1">
        <f>M26-M27</f>
        <v>5852.5564037538315</v>
      </c>
      <c r="N30" s="1">
        <f t="shared" ref="N30:V30" si="28">N26-N27</f>
        <v>4755.0488694964915</v>
      </c>
      <c r="O30" s="1">
        <f t="shared" si="28"/>
        <v>6435.1960453500178</v>
      </c>
      <c r="P30" s="1">
        <f t="shared" si="28"/>
        <v>8636.809283930641</v>
      </c>
      <c r="Q30" s="1">
        <f t="shared" si="28"/>
        <v>11493.462561356631</v>
      </c>
      <c r="R30" s="1">
        <f t="shared" si="28"/>
        <v>15161.976156822246</v>
      </c>
      <c r="S30" s="1">
        <f t="shared" si="28"/>
        <v>19821.880169549273</v>
      </c>
      <c r="T30" s="1">
        <f t="shared" si="28"/>
        <v>25672.24804812111</v>
      </c>
      <c r="U30" s="1">
        <f t="shared" si="28"/>
        <v>32924.537135410181</v>
      </c>
      <c r="V30" s="1">
        <f t="shared" si="28"/>
        <v>41789.605013081513</v>
      </c>
    </row>
    <row r="31" spans="1:23" x14ac:dyDescent="0.3">
      <c r="A31" t="s">
        <v>25</v>
      </c>
      <c r="B31" s="43">
        <v>0.05</v>
      </c>
      <c r="L31" s="1">
        <f>NPV(B31,M30:V30)</f>
        <v>121212.52085260971</v>
      </c>
      <c r="M31" s="1">
        <f t="shared" ref="M31:V31" si="29">M30/(1+$B$31)^M10</f>
        <v>5573.8632416703158</v>
      </c>
      <c r="N31" s="1">
        <f t="shared" si="29"/>
        <v>4312.9694961419427</v>
      </c>
      <c r="O31" s="1">
        <f t="shared" si="29"/>
        <v>5558.9642978944103</v>
      </c>
      <c r="P31" s="1">
        <f t="shared" si="29"/>
        <v>7105.5243721952402</v>
      </c>
      <c r="Q31" s="1">
        <f t="shared" si="29"/>
        <v>9005.4286601485164</v>
      </c>
      <c r="R31" s="1">
        <f t="shared" si="29"/>
        <v>11314.100051658204</v>
      </c>
      <c r="S31" s="1">
        <f t="shared" si="29"/>
        <v>14087.040164575155</v>
      </c>
      <c r="T31" s="1">
        <f t="shared" si="29"/>
        <v>17375.987990732501</v>
      </c>
      <c r="U31" s="1">
        <f t="shared" si="29"/>
        <v>21223.450199829378</v>
      </c>
      <c r="V31" s="1">
        <f t="shared" si="29"/>
        <v>25655.192377764099</v>
      </c>
      <c r="W31" s="1"/>
    </row>
    <row r="32" spans="1:23" x14ac:dyDescent="0.3">
      <c r="A32" t="s">
        <v>26</v>
      </c>
      <c r="B32" s="43">
        <v>0.02</v>
      </c>
      <c r="L32" s="1">
        <f>W32/(1+B31)^W10</f>
        <v>830739.56270855165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>
        <f>V30*(1+B32)/(B31-B32)</f>
        <v>1420846.5704447713</v>
      </c>
    </row>
    <row r="33" spans="1:12" x14ac:dyDescent="0.3">
      <c r="A33" t="s">
        <v>27</v>
      </c>
      <c r="L33" s="1">
        <f>L31+L32</f>
        <v>951952.0835611613</v>
      </c>
    </row>
    <row r="34" spans="1:12" x14ac:dyDescent="0.3">
      <c r="A34" t="s">
        <v>28</v>
      </c>
      <c r="L34" s="1">
        <v>16139</v>
      </c>
    </row>
    <row r="35" spans="1:12" x14ac:dyDescent="0.3">
      <c r="A35" t="s">
        <v>29</v>
      </c>
      <c r="L35" s="1">
        <v>20424</v>
      </c>
    </row>
    <row r="36" spans="1:12" x14ac:dyDescent="0.3">
      <c r="A36" t="s">
        <v>30</v>
      </c>
      <c r="L36" s="1">
        <v>-2456</v>
      </c>
    </row>
    <row r="37" spans="1:12" x14ac:dyDescent="0.3">
      <c r="A37" t="s">
        <v>31</v>
      </c>
      <c r="L37" s="1">
        <v>-4825</v>
      </c>
    </row>
    <row r="38" spans="1:12" x14ac:dyDescent="0.3">
      <c r="A38" t="s">
        <v>32</v>
      </c>
      <c r="L38" s="1">
        <f>SUM(L33:L37)</f>
        <v>981234.0835611613</v>
      </c>
    </row>
    <row r="39" spans="1:12" x14ac:dyDescent="0.3">
      <c r="A39" t="s">
        <v>33</v>
      </c>
      <c r="L39" s="1">
        <v>3194</v>
      </c>
    </row>
    <row r="40" spans="1:12" x14ac:dyDescent="0.3">
      <c r="L40">
        <f>L38/L39</f>
        <v>307.2116729997374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831F-DE0B-4A57-A76B-C6BA152D1754}">
  <dimension ref="A1:W48"/>
  <sheetViews>
    <sheetView tabSelected="1" zoomScale="80" zoomScaleNormal="80" workbookViewId="0"/>
  </sheetViews>
  <sheetFormatPr defaultRowHeight="16.5" x14ac:dyDescent="0.3"/>
  <cols>
    <col min="1" max="1" width="21" style="47" customWidth="1"/>
    <col min="2" max="2" width="6.75" style="47" bestFit="1" customWidth="1"/>
    <col min="3" max="3" width="10.5" style="47" bestFit="1" customWidth="1"/>
    <col min="4" max="8" width="10" style="47" bestFit="1" customWidth="1"/>
    <col min="9" max="9" width="12.75" style="47" bestFit="1" customWidth="1"/>
    <col min="10" max="10" width="10" style="47" bestFit="1" customWidth="1"/>
    <col min="11" max="11" width="15.75" style="47" bestFit="1" customWidth="1"/>
    <col min="12" max="12" width="14.25" style="47" bestFit="1" customWidth="1"/>
    <col min="13" max="14" width="9" style="47" customWidth="1"/>
    <col min="15" max="22" width="9" style="47"/>
    <col min="23" max="23" width="11.5" style="47" bestFit="1" customWidth="1"/>
    <col min="24" max="16384" width="9" style="47"/>
  </cols>
  <sheetData>
    <row r="1" spans="1:23" x14ac:dyDescent="0.3">
      <c r="B1" s="48">
        <v>2014</v>
      </c>
      <c r="C1" s="48">
        <v>2015</v>
      </c>
      <c r="D1" s="48">
        <v>2016</v>
      </c>
      <c r="E1" s="48">
        <v>2017</v>
      </c>
      <c r="F1" s="48">
        <v>2018</v>
      </c>
      <c r="G1" s="48">
        <v>2019</v>
      </c>
      <c r="H1" s="48">
        <v>2020</v>
      </c>
      <c r="I1" s="48">
        <v>2021</v>
      </c>
      <c r="J1" s="48">
        <v>2022</v>
      </c>
      <c r="K1" s="48">
        <v>2023</v>
      </c>
      <c r="L1" s="49">
        <v>2024</v>
      </c>
      <c r="M1" s="48">
        <v>2025</v>
      </c>
      <c r="N1" s="48">
        <v>2026</v>
      </c>
      <c r="O1" s="48">
        <v>2027</v>
      </c>
      <c r="P1" s="48">
        <v>2028</v>
      </c>
      <c r="Q1" s="48">
        <v>2029</v>
      </c>
      <c r="R1" s="48">
        <v>2030</v>
      </c>
      <c r="S1" s="48">
        <v>2031</v>
      </c>
      <c r="T1" s="48">
        <v>2032</v>
      </c>
      <c r="U1" s="48">
        <v>2033</v>
      </c>
      <c r="V1" s="48">
        <v>2034</v>
      </c>
    </row>
    <row r="2" spans="1:23" x14ac:dyDescent="0.3">
      <c r="A2" s="47" t="s">
        <v>6</v>
      </c>
      <c r="B2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77</v>
      </c>
      <c r="I2" s="1">
        <v>144</v>
      </c>
      <c r="J2" s="1">
        <v>266</v>
      </c>
      <c r="K2" s="1">
        <v>299</v>
      </c>
      <c r="L2" s="40">
        <v>1546</v>
      </c>
      <c r="M2" s="50">
        <f>M$14*$M5</f>
        <v>1371.9420165391623</v>
      </c>
      <c r="N2" s="50">
        <f t="shared" ref="N2:V2" si="0">N$14*$M5</f>
        <v>2023.6144743952648</v>
      </c>
      <c r="O2" s="50">
        <f t="shared" si="0"/>
        <v>2936.770505966128</v>
      </c>
      <c r="P2" s="50">
        <f t="shared" si="0"/>
        <v>4195.7273122424822</v>
      </c>
      <c r="Q2" s="50">
        <f t="shared" si="0"/>
        <v>5904.4503718010837</v>
      </c>
      <c r="R2" s="50">
        <f t="shared" si="0"/>
        <v>8188.8259438583154</v>
      </c>
      <c r="S2" s="50">
        <f t="shared" si="0"/>
        <v>11198.595716393243</v>
      </c>
      <c r="T2" s="50">
        <f t="shared" si="0"/>
        <v>15108.794242709799</v>
      </c>
      <c r="U2" s="50">
        <f t="shared" si="0"/>
        <v>20120.535639087913</v>
      </c>
      <c r="V2" s="50">
        <f t="shared" si="0"/>
        <v>26461.013494026975</v>
      </c>
    </row>
    <row r="3" spans="1:23" x14ac:dyDescent="0.3">
      <c r="A3" s="47" t="s">
        <v>7</v>
      </c>
      <c r="B3" s="1">
        <v>426</v>
      </c>
      <c r="C3" s="1">
        <v>474</v>
      </c>
      <c r="D3" s="1">
        <v>505</v>
      </c>
      <c r="E3" s="1">
        <v>826</v>
      </c>
      <c r="F3" s="1">
        <v>1265</v>
      </c>
      <c r="G3" s="1">
        <v>1424</v>
      </c>
      <c r="H3" s="1">
        <v>1657</v>
      </c>
      <c r="I3" s="1">
        <v>2429</v>
      </c>
      <c r="J3" s="1">
        <v>4650</v>
      </c>
      <c r="K3" s="1">
        <v>3827</v>
      </c>
      <c r="L3" s="40">
        <v>0</v>
      </c>
      <c r="M3" s="50">
        <f t="shared" ref="M3:V4" si="1">M$14*$M6</f>
        <v>9314.5419460474932</v>
      </c>
      <c r="N3" s="50">
        <f t="shared" si="1"/>
        <v>13738.949370420052</v>
      </c>
      <c r="O3" s="50">
        <f t="shared" si="1"/>
        <v>19938.650273822102</v>
      </c>
      <c r="P3" s="50">
        <f t="shared" si="1"/>
        <v>28486.100413081211</v>
      </c>
      <c r="Q3" s="50">
        <f t="shared" si="1"/>
        <v>40087.153825372327</v>
      </c>
      <c r="R3" s="50">
        <f t="shared" si="1"/>
        <v>55596.491559723974</v>
      </c>
      <c r="S3" s="50">
        <f t="shared" si="1"/>
        <v>76030.756606101146</v>
      </c>
      <c r="T3" s="50">
        <f t="shared" si="1"/>
        <v>102578.31310023449</v>
      </c>
      <c r="U3" s="50">
        <f t="shared" si="1"/>
        <v>136604.58745916549</v>
      </c>
      <c r="V3" s="50">
        <f t="shared" si="1"/>
        <v>179652.0677650719</v>
      </c>
    </row>
    <row r="4" spans="1:23" x14ac:dyDescent="0.3">
      <c r="A4" s="47" t="s">
        <v>8</v>
      </c>
      <c r="B4">
        <v>324</v>
      </c>
      <c r="C4">
        <v>293</v>
      </c>
      <c r="D4" s="1">
        <v>296</v>
      </c>
      <c r="E4" s="1">
        <v>485</v>
      </c>
      <c r="F4" s="1">
        <v>596</v>
      </c>
      <c r="G4" s="1">
        <v>511</v>
      </c>
      <c r="H4" s="1">
        <v>687</v>
      </c>
      <c r="I4" s="1">
        <v>1149</v>
      </c>
      <c r="J4" s="1">
        <v>1783</v>
      </c>
      <c r="K4" s="1">
        <v>1193</v>
      </c>
      <c r="L4" s="40">
        <v>2699</v>
      </c>
      <c r="M4" s="50">
        <f t="shared" si="1"/>
        <v>4860.9828804418894</v>
      </c>
      <c r="N4" s="50">
        <f t="shared" si="1"/>
        <v>7169.9497486517885</v>
      </c>
      <c r="O4" s="50">
        <f t="shared" si="1"/>
        <v>10405.389572730908</v>
      </c>
      <c r="P4" s="50">
        <f t="shared" si="1"/>
        <v>14866.050015190987</v>
      </c>
      <c r="Q4" s="50">
        <f t="shared" si="1"/>
        <v>20920.295340283814</v>
      </c>
      <c r="R4" s="50">
        <f t="shared" si="1"/>
        <v>29014.158210874655</v>
      </c>
      <c r="S4" s="50">
        <f t="shared" si="1"/>
        <v>39678.194417937011</v>
      </c>
      <c r="T4" s="50">
        <f t="shared" si="1"/>
        <v>53532.575919789146</v>
      </c>
      <c r="U4" s="50">
        <f t="shared" si="1"/>
        <v>71289.878222149622</v>
      </c>
      <c r="V4" s="50">
        <f t="shared" si="1"/>
        <v>93755.080056574167</v>
      </c>
    </row>
    <row r="5" spans="1:23" x14ac:dyDescent="0.3">
      <c r="A5" s="47" t="s">
        <v>20</v>
      </c>
      <c r="C5" s="51">
        <f>C2/C$14</f>
        <v>0</v>
      </c>
      <c r="D5" s="51">
        <f t="shared" ref="D5:L5" si="2">D2/D$14</f>
        <v>0</v>
      </c>
      <c r="E5" s="51">
        <f t="shared" si="2"/>
        <v>0</v>
      </c>
      <c r="F5" s="51">
        <f t="shared" si="2"/>
        <v>0</v>
      </c>
      <c r="G5" s="51">
        <f t="shared" si="2"/>
        <v>0</v>
      </c>
      <c r="H5" s="51">
        <f t="shared" si="2"/>
        <v>7.0525737314526471E-3</v>
      </c>
      <c r="I5" s="51">
        <f t="shared" si="2"/>
        <v>8.6356821589205403E-3</v>
      </c>
      <c r="J5" s="51">
        <f t="shared" si="2"/>
        <v>9.8833320948205402E-3</v>
      </c>
      <c r="K5" s="51">
        <f t="shared" si="2"/>
        <v>1.1084748276117743E-2</v>
      </c>
      <c r="L5" s="52">
        <f t="shared" si="2"/>
        <v>2.537671120449099E-2</v>
      </c>
      <c r="M5" s="51">
        <f>SUMPRODUCT($H$11:$L$11,H5:L5)</f>
        <v>1.501309889737875E-2</v>
      </c>
    </row>
    <row r="6" spans="1:23" x14ac:dyDescent="0.3">
      <c r="A6" s="47" t="s">
        <v>21</v>
      </c>
      <c r="C6" s="51">
        <f t="shared" ref="C6:L7" si="3">C3/C$14</f>
        <v>0.10123878684322939</v>
      </c>
      <c r="D6" s="51">
        <f t="shared" si="3"/>
        <v>0.10079840319361277</v>
      </c>
      <c r="E6" s="51">
        <f t="shared" si="3"/>
        <v>0.1195369030390738</v>
      </c>
      <c r="F6" s="51">
        <f t="shared" si="3"/>
        <v>0.13022441836524604</v>
      </c>
      <c r="G6" s="51">
        <f t="shared" si="3"/>
        <v>0.12154318880163878</v>
      </c>
      <c r="H6" s="51">
        <f t="shared" si="3"/>
        <v>0.15176772302619526</v>
      </c>
      <c r="I6" s="51">
        <f t="shared" si="3"/>
        <v>0.14566716641679162</v>
      </c>
      <c r="J6" s="51">
        <f t="shared" si="3"/>
        <v>0.17277253474028387</v>
      </c>
      <c r="K6" s="51">
        <f t="shared" si="3"/>
        <v>0.14187736338696522</v>
      </c>
      <c r="L6" s="52">
        <f t="shared" si="3"/>
        <v>0</v>
      </c>
      <c r="M6" s="51">
        <f t="shared" ref="M6:M7" si="4">SUMPRODUCT($H$11:$L$11,H6:L6)</f>
        <v>0.10192860757523273</v>
      </c>
    </row>
    <row r="7" spans="1:23" x14ac:dyDescent="0.3">
      <c r="A7" s="47" t="s">
        <v>22</v>
      </c>
      <c r="C7" s="51">
        <f t="shared" si="3"/>
        <v>6.2580093976932941E-2</v>
      </c>
      <c r="D7" s="51">
        <f t="shared" si="3"/>
        <v>5.9081836327345309E-2</v>
      </c>
      <c r="E7" s="51">
        <f t="shared" si="3"/>
        <v>7.0188133140376266E-2</v>
      </c>
      <c r="F7" s="51">
        <f t="shared" si="3"/>
        <v>6.1354745727815525E-2</v>
      </c>
      <c r="G7" s="51">
        <f t="shared" si="3"/>
        <v>4.3615568453397063E-2</v>
      </c>
      <c r="H7" s="51">
        <f t="shared" si="3"/>
        <v>6.2923612383220376E-2</v>
      </c>
      <c r="I7" s="51">
        <f t="shared" si="3"/>
        <v>6.890554722638681E-2</v>
      </c>
      <c r="J7" s="51">
        <f t="shared" si="3"/>
        <v>6.6248049342349707E-2</v>
      </c>
      <c r="K7" s="51">
        <f t="shared" si="3"/>
        <v>4.4227774894342702E-2</v>
      </c>
      <c r="L7" s="52">
        <f t="shared" si="3"/>
        <v>4.4302550802665701E-2</v>
      </c>
      <c r="M7" s="51">
        <f t="shared" si="4"/>
        <v>5.3193513896916164E-2</v>
      </c>
    </row>
    <row r="8" spans="1:23" x14ac:dyDescent="0.3">
      <c r="D8" s="50"/>
      <c r="E8" s="50"/>
      <c r="F8" s="50"/>
      <c r="G8" s="50"/>
      <c r="H8" s="50"/>
      <c r="I8" s="50"/>
      <c r="J8" s="50"/>
      <c r="K8" s="50"/>
      <c r="L8" s="50"/>
      <c r="M8" s="50"/>
    </row>
    <row r="9" spans="1:23" x14ac:dyDescent="0.3"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23" x14ac:dyDescent="0.3">
      <c r="H10" s="47">
        <v>1</v>
      </c>
      <c r="I10" s="47">
        <v>2</v>
      </c>
      <c r="J10" s="47">
        <v>3</v>
      </c>
      <c r="K10" s="47">
        <v>4</v>
      </c>
      <c r="L10" s="47">
        <v>5</v>
      </c>
      <c r="M10" s="47">
        <v>1</v>
      </c>
      <c r="N10" s="47">
        <v>2</v>
      </c>
      <c r="O10" s="47">
        <v>3</v>
      </c>
      <c r="P10" s="47">
        <v>4</v>
      </c>
      <c r="Q10" s="47">
        <v>5</v>
      </c>
      <c r="R10" s="47">
        <v>6</v>
      </c>
      <c r="S10" s="47">
        <v>7</v>
      </c>
      <c r="T10" s="47">
        <v>8</v>
      </c>
      <c r="U10" s="47">
        <v>9</v>
      </c>
      <c r="V10" s="47">
        <v>10</v>
      </c>
      <c r="W10" s="47">
        <v>11</v>
      </c>
    </row>
    <row r="11" spans="1:23" x14ac:dyDescent="0.3">
      <c r="A11" s="47" t="s">
        <v>3</v>
      </c>
      <c r="H11" s="47">
        <f>H10/SUM($H$10:$L$10)</f>
        <v>6.6666666666666666E-2</v>
      </c>
      <c r="I11" s="47">
        <f t="shared" ref="I11:L11" si="5">I10/SUM($H$10:$L$10)</f>
        <v>0.13333333333333333</v>
      </c>
      <c r="J11" s="47">
        <f t="shared" si="5"/>
        <v>0.2</v>
      </c>
      <c r="K11" s="47">
        <f t="shared" si="5"/>
        <v>0.26666666666666666</v>
      </c>
      <c r="L11" s="47">
        <f t="shared" si="5"/>
        <v>0.33333333333333331</v>
      </c>
    </row>
    <row r="12" spans="1:23" x14ac:dyDescent="0.3">
      <c r="B12" s="47" t="s">
        <v>4</v>
      </c>
    </row>
    <row r="13" spans="1:23" ht="17.25" thickBot="1" x14ac:dyDescent="0.35">
      <c r="C13" s="48">
        <v>2015</v>
      </c>
      <c r="D13" s="48">
        <v>2016</v>
      </c>
      <c r="E13" s="48">
        <v>2017</v>
      </c>
      <c r="F13" s="48">
        <v>2018</v>
      </c>
      <c r="G13" s="48">
        <v>2019</v>
      </c>
      <c r="H13" s="48">
        <v>2020</v>
      </c>
      <c r="I13" s="48">
        <v>2021</v>
      </c>
      <c r="J13" s="48">
        <v>2022</v>
      </c>
      <c r="K13" s="48">
        <v>2023</v>
      </c>
      <c r="L13" s="48">
        <v>2024</v>
      </c>
      <c r="M13" s="48">
        <v>2025</v>
      </c>
      <c r="N13" s="48">
        <v>2026</v>
      </c>
      <c r="O13" s="48">
        <v>2027</v>
      </c>
      <c r="P13" s="48">
        <v>2028</v>
      </c>
      <c r="Q13" s="48">
        <v>2029</v>
      </c>
      <c r="R13" s="48">
        <v>2030</v>
      </c>
      <c r="S13" s="48">
        <v>2031</v>
      </c>
      <c r="T13" s="48">
        <v>2032</v>
      </c>
      <c r="U13" s="48">
        <v>2033</v>
      </c>
      <c r="V13" s="48">
        <v>2034</v>
      </c>
    </row>
    <row r="14" spans="1:23" x14ac:dyDescent="0.3">
      <c r="A14" s="53" t="s">
        <v>0</v>
      </c>
      <c r="B14" s="54"/>
      <c r="C14" s="13">
        <v>4682</v>
      </c>
      <c r="D14" s="13">
        <v>5010</v>
      </c>
      <c r="E14" s="13">
        <v>6910</v>
      </c>
      <c r="F14" s="13">
        <v>9714</v>
      </c>
      <c r="G14" s="13">
        <v>11716</v>
      </c>
      <c r="H14" s="13">
        <v>10918</v>
      </c>
      <c r="I14" s="13">
        <v>16675</v>
      </c>
      <c r="J14" s="13">
        <v>26914</v>
      </c>
      <c r="K14" s="13">
        <v>26974</v>
      </c>
      <c r="L14" s="14">
        <v>60922</v>
      </c>
      <c r="M14" s="50">
        <f>L14*(1+M15)</f>
        <v>91383</v>
      </c>
      <c r="N14" s="50">
        <f t="shared" ref="N14:V14" si="6">M14*(1+N15)</f>
        <v>134789.92500000002</v>
      </c>
      <c r="O14" s="50">
        <f t="shared" si="6"/>
        <v>195613.87865625002</v>
      </c>
      <c r="P14" s="50">
        <f t="shared" si="6"/>
        <v>279471.10326270119</v>
      </c>
      <c r="Q14" s="50">
        <f t="shared" si="6"/>
        <v>393286.58341363393</v>
      </c>
      <c r="R14" s="50">
        <f t="shared" si="6"/>
        <v>545445.41402362066</v>
      </c>
      <c r="S14" s="50">
        <f t="shared" si="6"/>
        <v>745921.66433730023</v>
      </c>
      <c r="T14" s="50">
        <f t="shared" si="6"/>
        <v>1006374.1234228302</v>
      </c>
      <c r="U14" s="50">
        <f t="shared" si="6"/>
        <v>1340198.7009224931</v>
      </c>
      <c r="V14" s="50">
        <f t="shared" si="6"/>
        <v>1762528.4210075377</v>
      </c>
    </row>
    <row r="15" spans="1:23" x14ac:dyDescent="0.3">
      <c r="A15" s="55" t="s">
        <v>1</v>
      </c>
      <c r="B15" s="56">
        <f>SUMPRODUCT(H11:L11,H15:L15)</f>
        <v>0.60868128937363986</v>
      </c>
      <c r="C15" s="57"/>
      <c r="D15" s="57">
        <f>(D14-C14)/C14</f>
        <v>7.0055531824006839E-2</v>
      </c>
      <c r="E15" s="57">
        <f t="shared" ref="E15:L15" si="7">(E14-D14)/D14</f>
        <v>0.37924151696606784</v>
      </c>
      <c r="F15" s="57">
        <f t="shared" si="7"/>
        <v>0.4057887120115774</v>
      </c>
      <c r="G15" s="57">
        <f t="shared" si="7"/>
        <v>0.20609429689108502</v>
      </c>
      <c r="H15" s="57">
        <f t="shared" si="7"/>
        <v>-6.8111983612154314E-2</v>
      </c>
      <c r="I15" s="57">
        <f t="shared" si="7"/>
        <v>0.52729437625938813</v>
      </c>
      <c r="J15" s="57">
        <f t="shared" si="7"/>
        <v>0.61403298350824587</v>
      </c>
      <c r="K15" s="57">
        <f t="shared" si="7"/>
        <v>2.2293230289068887E-3</v>
      </c>
      <c r="L15" s="58">
        <f t="shared" si="7"/>
        <v>1.2585452658115222</v>
      </c>
      <c r="M15" s="56">
        <v>0.5</v>
      </c>
      <c r="N15" s="56">
        <f>M15*(1-$B$16)</f>
        <v>0.47499999999999998</v>
      </c>
      <c r="O15" s="56">
        <f t="shared" ref="O15:V15" si="8">N15*(1-$B$16)</f>
        <v>0.45124999999999998</v>
      </c>
      <c r="P15" s="56">
        <f t="shared" si="8"/>
        <v>0.42868749999999994</v>
      </c>
      <c r="Q15" s="56">
        <f t="shared" si="8"/>
        <v>0.40725312499999994</v>
      </c>
      <c r="R15" s="56">
        <f t="shared" si="8"/>
        <v>0.38689046874999994</v>
      </c>
      <c r="S15" s="56">
        <f t="shared" si="8"/>
        <v>0.3675459453124999</v>
      </c>
      <c r="T15" s="56">
        <f t="shared" si="8"/>
        <v>0.34916864804687486</v>
      </c>
      <c r="U15" s="56">
        <f t="shared" si="8"/>
        <v>0.33171021564453113</v>
      </c>
      <c r="V15" s="56">
        <f t="shared" si="8"/>
        <v>0.31512470486230454</v>
      </c>
    </row>
    <row r="16" spans="1:23" x14ac:dyDescent="0.3">
      <c r="A16" s="55" t="s">
        <v>19</v>
      </c>
      <c r="B16" s="56">
        <v>0.05</v>
      </c>
      <c r="C16" s="57"/>
      <c r="D16" s="57"/>
      <c r="E16" s="57"/>
      <c r="F16" s="57"/>
      <c r="G16" s="57"/>
      <c r="H16" s="57"/>
      <c r="I16" s="57"/>
      <c r="J16" s="57"/>
      <c r="K16" s="57"/>
      <c r="L16" s="58"/>
      <c r="M16" s="56"/>
      <c r="N16" s="56"/>
      <c r="O16" s="56"/>
      <c r="P16" s="56"/>
      <c r="Q16" s="56"/>
      <c r="R16" s="56"/>
      <c r="S16" s="56"/>
      <c r="T16" s="56"/>
      <c r="U16" s="56"/>
      <c r="V16" s="56"/>
    </row>
    <row r="17" spans="1:23" x14ac:dyDescent="0.3">
      <c r="A17" s="59" t="s">
        <v>2</v>
      </c>
      <c r="B17" s="60"/>
      <c r="C17" s="25">
        <v>759</v>
      </c>
      <c r="D17" s="25">
        <v>878</v>
      </c>
      <c r="E17" s="88">
        <v>1937</v>
      </c>
      <c r="F17" s="88">
        <v>3210</v>
      </c>
      <c r="G17" s="88">
        <v>3804</v>
      </c>
      <c r="H17" s="88">
        <v>2846</v>
      </c>
      <c r="I17" s="88">
        <v>4532</v>
      </c>
      <c r="J17" s="88">
        <v>10041</v>
      </c>
      <c r="K17" s="88">
        <v>5577</v>
      </c>
      <c r="L17" s="89">
        <v>32972</v>
      </c>
      <c r="M17" s="50">
        <f>M14*$B$18</f>
        <v>33242.52851028453</v>
      </c>
      <c r="N17" s="50">
        <f t="shared" ref="N17:V17" si="9">N14*$B$18</f>
        <v>49032.729552669683</v>
      </c>
      <c r="O17" s="50">
        <f t="shared" si="9"/>
        <v>71158.748763311873</v>
      </c>
      <c r="P17" s="50">
        <f t="shared" si="9"/>
        <v>101663.61487378413</v>
      </c>
      <c r="Q17" s="50">
        <f t="shared" si="9"/>
        <v>143066.4397299292</v>
      </c>
      <c r="R17" s="50">
        <f t="shared" si="9"/>
        <v>198417.48165943511</v>
      </c>
      <c r="S17" s="50">
        <f t="shared" si="9"/>
        <v>271345.02252247778</v>
      </c>
      <c r="T17" s="50">
        <f t="shared" si="9"/>
        <v>366090.19719090022</v>
      </c>
      <c r="U17" s="50">
        <f t="shared" si="9"/>
        <v>487526.05544644262</v>
      </c>
      <c r="V17" s="50">
        <f t="shared" si="9"/>
        <v>641157.5597816864</v>
      </c>
    </row>
    <row r="18" spans="1:23" x14ac:dyDescent="0.3">
      <c r="A18" s="62" t="s">
        <v>16</v>
      </c>
      <c r="B18" s="63">
        <f>SUMPRODUCT(H11:L11,H18:L18)</f>
        <v>0.36377147292477297</v>
      </c>
      <c r="C18" s="63">
        <f>C17/C14</f>
        <v>0.16211020931225972</v>
      </c>
      <c r="D18" s="63">
        <f t="shared" ref="D18:L18" si="10">D17/D14</f>
        <v>0.17524950099800399</v>
      </c>
      <c r="E18" s="63">
        <f t="shared" si="10"/>
        <v>0.28031837916063673</v>
      </c>
      <c r="F18" s="63">
        <f t="shared" si="10"/>
        <v>0.33045089561457691</v>
      </c>
      <c r="G18" s="63">
        <f t="shared" si="10"/>
        <v>0.32468419255718678</v>
      </c>
      <c r="H18" s="63">
        <f t="shared" si="10"/>
        <v>0.2606704524638212</v>
      </c>
      <c r="I18" s="63">
        <f t="shared" si="10"/>
        <v>0.27178410794602698</v>
      </c>
      <c r="J18" s="63">
        <f t="shared" si="10"/>
        <v>0.37307720888756779</v>
      </c>
      <c r="K18" s="63">
        <f t="shared" si="10"/>
        <v>0.20675465262845702</v>
      </c>
      <c r="L18" s="64">
        <f t="shared" si="10"/>
        <v>0.54121663766783756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</row>
    <row r="19" spans="1:23" x14ac:dyDescent="0.3">
      <c r="A19" s="65" t="s">
        <v>23</v>
      </c>
      <c r="B19" s="66">
        <v>0.2</v>
      </c>
      <c r="C19" s="67">
        <f>C17*(1-$B$19)</f>
        <v>607.20000000000005</v>
      </c>
      <c r="D19" s="67">
        <f t="shared" ref="D19:L19" si="11">D17*(1-$B$19)</f>
        <v>702.40000000000009</v>
      </c>
      <c r="E19" s="67">
        <f t="shared" si="11"/>
        <v>1549.6000000000001</v>
      </c>
      <c r="F19" s="67">
        <f t="shared" si="11"/>
        <v>2568</v>
      </c>
      <c r="G19" s="67">
        <f t="shared" si="11"/>
        <v>3043.2000000000003</v>
      </c>
      <c r="H19" s="67">
        <f t="shared" si="11"/>
        <v>2276.8000000000002</v>
      </c>
      <c r="I19" s="67">
        <f t="shared" si="11"/>
        <v>3625.6000000000004</v>
      </c>
      <c r="J19" s="67">
        <f t="shared" si="11"/>
        <v>8032.8</v>
      </c>
      <c r="K19" s="67">
        <f t="shared" si="11"/>
        <v>4461.6000000000004</v>
      </c>
      <c r="L19" s="68">
        <f t="shared" si="11"/>
        <v>26377.600000000002</v>
      </c>
      <c r="M19" s="50">
        <f>M17*(1-$B$19)</f>
        <v>26594.022808227626</v>
      </c>
      <c r="N19" s="50">
        <f t="shared" ref="N19:V19" si="12">N17*(1-$B$19)</f>
        <v>39226.183642135751</v>
      </c>
      <c r="O19" s="50">
        <f t="shared" si="12"/>
        <v>56926.999010649502</v>
      </c>
      <c r="P19" s="50">
        <f t="shared" si="12"/>
        <v>81330.891899027309</v>
      </c>
      <c r="Q19" s="50">
        <f t="shared" si="12"/>
        <v>114453.15178394337</v>
      </c>
      <c r="R19" s="50">
        <f t="shared" si="12"/>
        <v>158733.98532754811</v>
      </c>
      <c r="S19" s="50">
        <f t="shared" si="12"/>
        <v>217076.01801798225</v>
      </c>
      <c r="T19" s="50">
        <f t="shared" si="12"/>
        <v>292872.15775272017</v>
      </c>
      <c r="U19" s="50">
        <f t="shared" si="12"/>
        <v>390020.8443571541</v>
      </c>
      <c r="V19" s="50">
        <f t="shared" si="12"/>
        <v>512926.04782534915</v>
      </c>
    </row>
    <row r="20" spans="1:23" x14ac:dyDescent="0.3">
      <c r="A20" s="55" t="s">
        <v>5</v>
      </c>
      <c r="C20">
        <v>220</v>
      </c>
      <c r="D20">
        <v>197</v>
      </c>
      <c r="E20" s="1">
        <v>187</v>
      </c>
      <c r="F20" s="1">
        <v>199</v>
      </c>
      <c r="G20" s="1">
        <v>262</v>
      </c>
      <c r="H20" s="1">
        <v>381</v>
      </c>
      <c r="I20" s="1">
        <v>1098</v>
      </c>
      <c r="J20" s="1">
        <v>1174</v>
      </c>
      <c r="K20" s="1">
        <v>1544</v>
      </c>
      <c r="L20" s="18">
        <v>1508</v>
      </c>
      <c r="M20" s="50">
        <f>M14*$B$21</f>
        <v>3961.0141182785978</v>
      </c>
      <c r="N20" s="50">
        <f t="shared" ref="N20:V20" si="13">N14*$B$21</f>
        <v>5842.4958244609325</v>
      </c>
      <c r="O20" s="50">
        <f t="shared" si="13"/>
        <v>8478.9220652489275</v>
      </c>
      <c r="P20" s="50">
        <f t="shared" si="13"/>
        <v>12113.729968095327</v>
      </c>
      <c r="Q20" s="50">
        <f t="shared" si="13"/>
        <v>17047.0843530083</v>
      </c>
      <c r="R20" s="50">
        <f t="shared" si="13"/>
        <v>23642.438809164469</v>
      </c>
      <c r="S20" s="50">
        <f t="shared" si="13"/>
        <v>32332.121330771759</v>
      </c>
      <c r="T20" s="50">
        <f t="shared" si="13"/>
        <v>43621.484424324859</v>
      </c>
      <c r="U20" s="50">
        <f t="shared" si="13"/>
        <v>58091.176429452215</v>
      </c>
      <c r="V20" s="50">
        <f t="shared" si="13"/>
        <v>76397.141256887408</v>
      </c>
    </row>
    <row r="21" spans="1:23" x14ac:dyDescent="0.3">
      <c r="A21" s="62" t="s">
        <v>14</v>
      </c>
      <c r="B21" s="63">
        <f>SUMPRODUCT(H11:L11,H21:L21)</f>
        <v>4.3345196790197278E-2</v>
      </c>
      <c r="C21" s="63">
        <f t="shared" ref="C21:L21" si="14">C20/C14</f>
        <v>4.698846646732166E-2</v>
      </c>
      <c r="D21" s="63">
        <f t="shared" si="14"/>
        <v>3.932135728542914E-2</v>
      </c>
      <c r="E21" s="63">
        <f t="shared" si="14"/>
        <v>2.7062228654124457E-2</v>
      </c>
      <c r="F21" s="63">
        <f t="shared" si="14"/>
        <v>2.0485896644018942E-2</v>
      </c>
      <c r="G21" s="63">
        <f t="shared" si="14"/>
        <v>2.2362581085694777E-2</v>
      </c>
      <c r="H21" s="63">
        <f t="shared" si="14"/>
        <v>3.4896501190694269E-2</v>
      </c>
      <c r="I21" s="63">
        <f t="shared" si="14"/>
        <v>6.5847076461769113E-2</v>
      </c>
      <c r="J21" s="63">
        <f t="shared" si="14"/>
        <v>4.362042059894479E-2</v>
      </c>
      <c r="K21" s="63">
        <f t="shared" si="14"/>
        <v>5.7240305479350488E-2</v>
      </c>
      <c r="L21" s="64">
        <f t="shared" si="14"/>
        <v>2.4752962804898065E-2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</row>
    <row r="22" spans="1:23" x14ac:dyDescent="0.3">
      <c r="A22" s="55" t="s">
        <v>35</v>
      </c>
      <c r="B22" s="66"/>
      <c r="C22" s="67">
        <f>C23+C24-C25</f>
        <v>-79</v>
      </c>
      <c r="D22" s="67">
        <f>D23+D24-D25</f>
        <v>-28</v>
      </c>
      <c r="E22" s="67">
        <f t="shared" ref="E22:L22" si="15">E23+E24-E25</f>
        <v>-132</v>
      </c>
      <c r="F22" s="67">
        <f t="shared" si="15"/>
        <v>-328</v>
      </c>
      <c r="G22" s="67">
        <f t="shared" si="15"/>
        <v>-244</v>
      </c>
      <c r="H22" s="67">
        <f t="shared" si="15"/>
        <v>-134</v>
      </c>
      <c r="I22" s="67">
        <f t="shared" si="15"/>
        <v>-377</v>
      </c>
      <c r="J22" s="67">
        <f t="shared" si="15"/>
        <v>-1709</v>
      </c>
      <c r="K22" s="67">
        <f t="shared" si="15"/>
        <v>200</v>
      </c>
      <c r="L22" s="68">
        <f t="shared" si="15"/>
        <v>4086</v>
      </c>
      <c r="M22" s="50">
        <f>M23+M24-M25</f>
        <v>6978.5010821447659</v>
      </c>
      <c r="N22" s="50">
        <f t="shared" ref="N22:V22" si="16">N23+N24-N25</f>
        <v>2767.1130140187624</v>
      </c>
      <c r="O22" s="50">
        <f t="shared" si="16"/>
        <v>3877.4171108937935</v>
      </c>
      <c r="P22" s="50">
        <f t="shared" si="16"/>
        <v>5345.7465030753829</v>
      </c>
      <c r="Q22" s="50">
        <f t="shared" si="16"/>
        <v>7255.5311467568899</v>
      </c>
      <c r="R22" s="50">
        <f t="shared" si="16"/>
        <v>9699.8504358180362</v>
      </c>
      <c r="S22" s="50">
        <f t="shared" si="16"/>
        <v>12779.998611849744</v>
      </c>
      <c r="T22" s="50">
        <f t="shared" si="16"/>
        <v>16603.373518597764</v>
      </c>
      <c r="U22" s="50">
        <f t="shared" si="16"/>
        <v>21280.713452948636</v>
      </c>
      <c r="V22" s="50">
        <f t="shared" si="16"/>
        <v>26922.756326420931</v>
      </c>
    </row>
    <row r="23" spans="1:23" x14ac:dyDescent="0.3">
      <c r="A23" s="70" t="s">
        <v>9</v>
      </c>
      <c r="C23" s="50">
        <f>B2-C2</f>
        <v>0</v>
      </c>
      <c r="D23" s="50">
        <f t="shared" ref="D23:L23" si="17">C2-D2</f>
        <v>0</v>
      </c>
      <c r="E23" s="50">
        <f t="shared" si="17"/>
        <v>0</v>
      </c>
      <c r="F23" s="50">
        <f t="shared" si="17"/>
        <v>0</v>
      </c>
      <c r="G23" s="50">
        <f t="shared" si="17"/>
        <v>0</v>
      </c>
      <c r="H23" s="50">
        <f t="shared" si="17"/>
        <v>-77</v>
      </c>
      <c r="I23" s="50">
        <f t="shared" si="17"/>
        <v>-67</v>
      </c>
      <c r="J23" s="50">
        <f t="shared" si="17"/>
        <v>-122</v>
      </c>
      <c r="K23" s="50">
        <f t="shared" si="17"/>
        <v>-33</v>
      </c>
      <c r="L23" s="69">
        <f t="shared" si="17"/>
        <v>-1247</v>
      </c>
      <c r="M23" s="50">
        <f>M2-L2</f>
        <v>-174.0579834608377</v>
      </c>
      <c r="N23" s="50">
        <f t="shared" ref="N23:V23" si="18">N2-M2</f>
        <v>651.67245785610248</v>
      </c>
      <c r="O23" s="50">
        <f t="shared" si="18"/>
        <v>913.15603157086321</v>
      </c>
      <c r="P23" s="50">
        <f t="shared" si="18"/>
        <v>1258.9568062763542</v>
      </c>
      <c r="Q23" s="50">
        <f t="shared" si="18"/>
        <v>1708.7230595586016</v>
      </c>
      <c r="R23" s="50">
        <f t="shared" si="18"/>
        <v>2284.3755720572317</v>
      </c>
      <c r="S23" s="50">
        <f t="shared" si="18"/>
        <v>3009.7697725349281</v>
      </c>
      <c r="T23" s="50">
        <f t="shared" si="18"/>
        <v>3910.1985263165552</v>
      </c>
      <c r="U23" s="50">
        <f t="shared" si="18"/>
        <v>5011.7413963781146</v>
      </c>
      <c r="V23" s="50">
        <f t="shared" si="18"/>
        <v>6340.4778549390612</v>
      </c>
    </row>
    <row r="24" spans="1:23" x14ac:dyDescent="0.3">
      <c r="A24" s="71" t="s">
        <v>10</v>
      </c>
      <c r="C24" s="50">
        <f t="shared" ref="C24:L24" si="19">B3-C3</f>
        <v>-48</v>
      </c>
      <c r="D24" s="50">
        <f t="shared" si="19"/>
        <v>-31</v>
      </c>
      <c r="E24" s="50">
        <f t="shared" si="19"/>
        <v>-321</v>
      </c>
      <c r="F24" s="50">
        <f t="shared" si="19"/>
        <v>-439</v>
      </c>
      <c r="G24" s="50">
        <f t="shared" si="19"/>
        <v>-159</v>
      </c>
      <c r="H24" s="50">
        <f t="shared" si="19"/>
        <v>-233</v>
      </c>
      <c r="I24" s="50">
        <f t="shared" si="19"/>
        <v>-772</v>
      </c>
      <c r="J24" s="50">
        <f t="shared" si="19"/>
        <v>-2221</v>
      </c>
      <c r="K24" s="50">
        <f t="shared" si="19"/>
        <v>823</v>
      </c>
      <c r="L24" s="69">
        <f t="shared" si="19"/>
        <v>3827</v>
      </c>
      <c r="M24" s="50">
        <f t="shared" ref="M24:V25" si="20">M3-L3</f>
        <v>9314.5419460474932</v>
      </c>
      <c r="N24" s="50">
        <f t="shared" si="20"/>
        <v>4424.407424372559</v>
      </c>
      <c r="O24" s="50">
        <f t="shared" si="20"/>
        <v>6199.7009034020502</v>
      </c>
      <c r="P24" s="50">
        <f t="shared" si="20"/>
        <v>8547.4501392591083</v>
      </c>
      <c r="Q24" s="50">
        <f t="shared" si="20"/>
        <v>11601.053412291116</v>
      </c>
      <c r="R24" s="50">
        <f t="shared" si="20"/>
        <v>15509.337734351648</v>
      </c>
      <c r="S24" s="50">
        <f t="shared" si="20"/>
        <v>20434.265046377172</v>
      </c>
      <c r="T24" s="50">
        <f t="shared" si="20"/>
        <v>26547.556494133343</v>
      </c>
      <c r="U24" s="50">
        <f t="shared" si="20"/>
        <v>34026.274358930998</v>
      </c>
      <c r="V24" s="50">
        <f t="shared" si="20"/>
        <v>43047.480305906414</v>
      </c>
    </row>
    <row r="25" spans="1:23" x14ac:dyDescent="0.3">
      <c r="A25" s="72" t="s">
        <v>11</v>
      </c>
      <c r="B25" s="73"/>
      <c r="C25" s="74">
        <f t="shared" ref="C25:L25" si="21">B4-C4</f>
        <v>31</v>
      </c>
      <c r="D25" s="74">
        <f t="shared" si="21"/>
        <v>-3</v>
      </c>
      <c r="E25" s="74">
        <f t="shared" si="21"/>
        <v>-189</v>
      </c>
      <c r="F25" s="74">
        <f t="shared" si="21"/>
        <v>-111</v>
      </c>
      <c r="G25" s="74">
        <f t="shared" si="21"/>
        <v>85</v>
      </c>
      <c r="H25" s="74">
        <f t="shared" si="21"/>
        <v>-176</v>
      </c>
      <c r="I25" s="74">
        <f t="shared" si="21"/>
        <v>-462</v>
      </c>
      <c r="J25" s="74">
        <f t="shared" si="21"/>
        <v>-634</v>
      </c>
      <c r="K25" s="74">
        <f t="shared" si="21"/>
        <v>590</v>
      </c>
      <c r="L25" s="75">
        <f t="shared" si="21"/>
        <v>-1506</v>
      </c>
      <c r="M25" s="50">
        <f t="shared" si="20"/>
        <v>2161.9828804418894</v>
      </c>
      <c r="N25" s="50">
        <f t="shared" si="20"/>
        <v>2308.9668682098991</v>
      </c>
      <c r="O25" s="50">
        <f t="shared" si="20"/>
        <v>3235.4398240791197</v>
      </c>
      <c r="P25" s="50">
        <f t="shared" si="20"/>
        <v>4460.6604424600791</v>
      </c>
      <c r="Q25" s="50">
        <f t="shared" si="20"/>
        <v>6054.2453250928265</v>
      </c>
      <c r="R25" s="50">
        <f t="shared" si="20"/>
        <v>8093.8628705908413</v>
      </c>
      <c r="S25" s="50">
        <f t="shared" si="20"/>
        <v>10664.036207062356</v>
      </c>
      <c r="T25" s="50">
        <f t="shared" si="20"/>
        <v>13854.381501852135</v>
      </c>
      <c r="U25" s="50">
        <f t="shared" si="20"/>
        <v>17757.302302360476</v>
      </c>
      <c r="V25" s="50">
        <f t="shared" si="20"/>
        <v>22465.201834424544</v>
      </c>
    </row>
    <row r="26" spans="1:23" x14ac:dyDescent="0.3">
      <c r="A26" s="76" t="s">
        <v>12</v>
      </c>
      <c r="B26" s="77"/>
      <c r="C26" s="77">
        <f>C19+C20-C22</f>
        <v>906.2</v>
      </c>
      <c r="D26" s="77">
        <f t="shared" ref="D26:V26" si="22">D19+D20-D22</f>
        <v>927.40000000000009</v>
      </c>
      <c r="E26" s="77">
        <f t="shared" si="22"/>
        <v>1868.6000000000001</v>
      </c>
      <c r="F26" s="77">
        <f t="shared" si="22"/>
        <v>3095</v>
      </c>
      <c r="G26" s="77">
        <f t="shared" si="22"/>
        <v>3549.2000000000003</v>
      </c>
      <c r="H26" s="77">
        <f t="shared" si="22"/>
        <v>2791.8</v>
      </c>
      <c r="I26" s="77">
        <f t="shared" si="22"/>
        <v>5100.6000000000004</v>
      </c>
      <c r="J26" s="77">
        <f t="shared" si="22"/>
        <v>10915.8</v>
      </c>
      <c r="K26" s="77">
        <f t="shared" si="22"/>
        <v>5805.6</v>
      </c>
      <c r="L26" s="78">
        <f t="shared" si="22"/>
        <v>23799.600000000002</v>
      </c>
      <c r="M26" s="79">
        <f t="shared" si="22"/>
        <v>23576.53584436146</v>
      </c>
      <c r="N26" s="79">
        <f t="shared" si="22"/>
        <v>42301.566452577921</v>
      </c>
      <c r="O26" s="79">
        <f t="shared" si="22"/>
        <v>61528.503965004631</v>
      </c>
      <c r="P26" s="79">
        <f t="shared" si="22"/>
        <v>88098.875364047257</v>
      </c>
      <c r="Q26" s="79">
        <f t="shared" si="22"/>
        <v>124244.70499019476</v>
      </c>
      <c r="R26" s="79">
        <f t="shared" si="22"/>
        <v>172676.57370089454</v>
      </c>
      <c r="S26" s="79">
        <f t="shared" si="22"/>
        <v>236628.14073690429</v>
      </c>
      <c r="T26" s="79">
        <f t="shared" si="22"/>
        <v>319890.26865844731</v>
      </c>
      <c r="U26" s="79">
        <f t="shared" si="22"/>
        <v>426831.30733365763</v>
      </c>
      <c r="V26" s="79">
        <f t="shared" si="22"/>
        <v>562400.43275581556</v>
      </c>
    </row>
    <row r="27" spans="1:23" x14ac:dyDescent="0.3">
      <c r="A27" s="59" t="s">
        <v>13</v>
      </c>
      <c r="B27" s="61"/>
      <c r="C27" s="87">
        <v>-101</v>
      </c>
      <c r="D27" s="87">
        <v>-79</v>
      </c>
      <c r="E27" s="87">
        <v>-169</v>
      </c>
      <c r="F27" s="87">
        <v>-591</v>
      </c>
      <c r="G27" s="87">
        <v>-600</v>
      </c>
      <c r="H27" s="87">
        <v>-489</v>
      </c>
      <c r="I27" s="90">
        <v>-1128</v>
      </c>
      <c r="J27" s="87">
        <v>-976</v>
      </c>
      <c r="K27" s="90">
        <v>-1833</v>
      </c>
      <c r="L27" s="91">
        <v>-1069</v>
      </c>
      <c r="M27" s="50">
        <f>M14*M28</f>
        <v>-3950.3298058907044</v>
      </c>
      <c r="N27" s="50">
        <f t="shared" ref="N27:V27" si="23">N14*N28</f>
        <v>-5885.0038283256772</v>
      </c>
      <c r="O27" s="50">
        <f t="shared" si="23"/>
        <v>-8626.0179239162153</v>
      </c>
      <c r="P27" s="50">
        <f t="shared" si="23"/>
        <v>-12447.122822501799</v>
      </c>
      <c r="Q27" s="50">
        <f t="shared" si="23"/>
        <v>-17691.415014116719</v>
      </c>
      <c r="R27" s="50">
        <f t="shared" si="23"/>
        <v>-24781.415410396916</v>
      </c>
      <c r="S27" s="50">
        <f t="shared" si="23"/>
        <v>-34228.621405228929</v>
      </c>
      <c r="T27" s="50">
        <f t="shared" si="23"/>
        <v>-46641.984694459061</v>
      </c>
      <c r="U27" s="50">
        <f t="shared" si="23"/>
        <v>-62734.743570502455</v>
      </c>
      <c r="V27" s="50">
        <f t="shared" si="23"/>
        <v>-83329.051233997088</v>
      </c>
    </row>
    <row r="28" spans="1:23" x14ac:dyDescent="0.3">
      <c r="A28" s="55" t="s">
        <v>15</v>
      </c>
      <c r="B28" s="56">
        <f>SUMPRODUCT(H11:L11,H28:L28)</f>
        <v>-4.3228278847167463E-2</v>
      </c>
      <c r="C28" s="57">
        <f t="shared" ref="C28:L28" si="24">C27/C14</f>
        <v>-2.1571977787270397E-2</v>
      </c>
      <c r="D28" s="57">
        <f t="shared" si="24"/>
        <v>-1.5768463073852296E-2</v>
      </c>
      <c r="E28" s="57">
        <f t="shared" si="24"/>
        <v>-2.4457308248914615E-2</v>
      </c>
      <c r="F28" s="57">
        <f t="shared" si="24"/>
        <v>-6.0840024706609021E-2</v>
      </c>
      <c r="G28" s="57">
        <f t="shared" si="24"/>
        <v>-5.1212017753499491E-2</v>
      </c>
      <c r="H28" s="57">
        <f t="shared" si="24"/>
        <v>-4.478842278805642E-2</v>
      </c>
      <c r="I28" s="57">
        <f t="shared" si="24"/>
        <v>-6.7646176911544231E-2</v>
      </c>
      <c r="J28" s="57">
        <f t="shared" si="24"/>
        <v>-3.6263654603552055E-2</v>
      </c>
      <c r="K28" s="57">
        <f t="shared" si="24"/>
        <v>-6.7954326388373995E-2</v>
      </c>
      <c r="L28" s="58">
        <f t="shared" si="24"/>
        <v>-1.7547027346442992E-2</v>
      </c>
      <c r="M28" s="80">
        <f>B28</f>
        <v>-4.3228278847167463E-2</v>
      </c>
      <c r="N28" s="80">
        <f>M28*(1+$B$29)</f>
        <v>-4.3660561635639139E-2</v>
      </c>
      <c r="O28" s="80">
        <f t="shared" ref="O28:V28" si="25">N28*(1+$B$29)</f>
        <v>-4.4097167251995528E-2</v>
      </c>
      <c r="P28" s="80">
        <f t="shared" si="25"/>
        <v>-4.4538138924515483E-2</v>
      </c>
      <c r="Q28" s="80">
        <f t="shared" si="25"/>
        <v>-4.4983520313760642E-2</v>
      </c>
      <c r="R28" s="80">
        <f t="shared" si="25"/>
        <v>-4.5433355516898248E-2</v>
      </c>
      <c r="S28" s="80">
        <f t="shared" si="25"/>
        <v>-4.588768907206723E-2</v>
      </c>
      <c r="T28" s="80">
        <f t="shared" si="25"/>
        <v>-4.6346565962787904E-2</v>
      </c>
      <c r="U28" s="80">
        <f t="shared" si="25"/>
        <v>-4.6810031622415781E-2</v>
      </c>
      <c r="V28" s="80">
        <f t="shared" si="25"/>
        <v>-4.7278131938639938E-2</v>
      </c>
    </row>
    <row r="29" spans="1:23" x14ac:dyDescent="0.3">
      <c r="A29" s="62" t="s">
        <v>24</v>
      </c>
      <c r="B29" s="81">
        <v>0.01</v>
      </c>
      <c r="C29" s="73"/>
      <c r="D29" s="73"/>
      <c r="E29" s="73"/>
      <c r="F29" s="73"/>
      <c r="G29" s="73"/>
      <c r="H29" s="73"/>
      <c r="I29" s="73"/>
      <c r="J29" s="73"/>
      <c r="K29" s="73"/>
      <c r="L29" s="82"/>
    </row>
    <row r="30" spans="1:23" ht="17.25" thickBot="1" x14ac:dyDescent="0.35">
      <c r="A30" s="83" t="s">
        <v>18</v>
      </c>
      <c r="B30" s="84"/>
      <c r="C30" s="84">
        <f>C26-C27</f>
        <v>1007.2</v>
      </c>
      <c r="D30" s="84">
        <f t="shared" ref="D30:L30" si="26">D26-D27</f>
        <v>1006.4000000000001</v>
      </c>
      <c r="E30" s="84">
        <f t="shared" si="26"/>
        <v>2037.6000000000001</v>
      </c>
      <c r="F30" s="84">
        <f t="shared" si="26"/>
        <v>3686</v>
      </c>
      <c r="G30" s="84">
        <f t="shared" si="26"/>
        <v>4149.2000000000007</v>
      </c>
      <c r="H30" s="84">
        <f t="shared" si="26"/>
        <v>3280.8</v>
      </c>
      <c r="I30" s="84">
        <f t="shared" si="26"/>
        <v>6228.6</v>
      </c>
      <c r="J30" s="84">
        <f t="shared" si="26"/>
        <v>11891.8</v>
      </c>
      <c r="K30" s="84">
        <f t="shared" si="26"/>
        <v>7638.6</v>
      </c>
      <c r="L30" s="85">
        <f t="shared" si="26"/>
        <v>24868.600000000002</v>
      </c>
      <c r="M30" s="50">
        <f>M26-M27</f>
        <v>27526.865650252166</v>
      </c>
      <c r="N30" s="50">
        <f t="shared" ref="N30:V30" si="27">N26-N27</f>
        <v>48186.570280903601</v>
      </c>
      <c r="O30" s="50">
        <f t="shared" si="27"/>
        <v>70154.521888920848</v>
      </c>
      <c r="P30" s="50">
        <f t="shared" si="27"/>
        <v>100545.99818654906</v>
      </c>
      <c r="Q30" s="50">
        <f t="shared" si="27"/>
        <v>141936.12000431149</v>
      </c>
      <c r="R30" s="50">
        <f t="shared" si="27"/>
        <v>197457.98911129145</v>
      </c>
      <c r="S30" s="50">
        <f t="shared" si="27"/>
        <v>270856.7621421332</v>
      </c>
      <c r="T30" s="50">
        <f t="shared" si="27"/>
        <v>366532.25335290638</v>
      </c>
      <c r="U30" s="50">
        <f t="shared" si="27"/>
        <v>489566.05090416007</v>
      </c>
      <c r="V30" s="50">
        <f t="shared" si="27"/>
        <v>645729.48398981267</v>
      </c>
    </row>
    <row r="31" spans="1:23" x14ac:dyDescent="0.3">
      <c r="A31" s="47" t="s">
        <v>25</v>
      </c>
      <c r="B31" s="86">
        <v>0.08</v>
      </c>
      <c r="L31" s="50">
        <f>NPV(B31,M30:V30)</f>
        <v>1317497.5473201342</v>
      </c>
      <c r="M31" s="50">
        <f t="shared" ref="M31:V31" si="28">M30/(1+$B$31)^M10</f>
        <v>25487.8385650483</v>
      </c>
      <c r="N31" s="50">
        <f t="shared" si="28"/>
        <v>41312.217319018862</v>
      </c>
      <c r="O31" s="50">
        <f t="shared" si="28"/>
        <v>55690.921328780576</v>
      </c>
      <c r="P31" s="50">
        <f t="shared" si="28"/>
        <v>73904.310246331603</v>
      </c>
      <c r="Q31" s="50">
        <f t="shared" si="28"/>
        <v>96599.338327100748</v>
      </c>
      <c r="R31" s="50">
        <f t="shared" si="28"/>
        <v>124432.02732335066</v>
      </c>
      <c r="S31" s="50">
        <f t="shared" si="28"/>
        <v>158042.31920173508</v>
      </c>
      <c r="T31" s="50">
        <f t="shared" si="28"/>
        <v>198025.9716529703</v>
      </c>
      <c r="U31" s="50">
        <f t="shared" si="28"/>
        <v>244904.91130743336</v>
      </c>
      <c r="V31" s="50">
        <f t="shared" si="28"/>
        <v>299097.69204836461</v>
      </c>
      <c r="W31" s="50"/>
    </row>
    <row r="32" spans="1:23" x14ac:dyDescent="0.3">
      <c r="A32" s="47" t="s">
        <v>26</v>
      </c>
      <c r="B32" s="86">
        <v>0.02</v>
      </c>
      <c r="L32" s="50">
        <f>W32/(1+B31)^W10</f>
        <v>4708019.2266872209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>
        <f>V30*(1+B32)/(B31-B32)</f>
        <v>10977401.227826815</v>
      </c>
    </row>
    <row r="33" spans="1:12" x14ac:dyDescent="0.3">
      <c r="A33" s="47" t="s">
        <v>27</v>
      </c>
      <c r="L33" s="50">
        <f>L31+L32</f>
        <v>6025516.7740073549</v>
      </c>
    </row>
    <row r="34" spans="1:12" x14ac:dyDescent="0.3">
      <c r="A34" s="47" t="s">
        <v>28</v>
      </c>
      <c r="L34" s="1">
        <v>7280</v>
      </c>
    </row>
    <row r="35" spans="1:12" x14ac:dyDescent="0.3">
      <c r="A35" s="47" t="s">
        <v>29</v>
      </c>
      <c r="L35" s="1"/>
    </row>
    <row r="36" spans="1:12" x14ac:dyDescent="0.3">
      <c r="A36" s="47" t="s">
        <v>30</v>
      </c>
      <c r="L36" s="1">
        <v>9709</v>
      </c>
    </row>
    <row r="37" spans="1:12" x14ac:dyDescent="0.3">
      <c r="A37" s="47" t="s">
        <v>31</v>
      </c>
      <c r="L37" s="1">
        <v>1119</v>
      </c>
    </row>
    <row r="38" spans="1:12" x14ac:dyDescent="0.3">
      <c r="A38" s="47" t="s">
        <v>32</v>
      </c>
      <c r="L38" s="50">
        <f>SUM(L33:L37)</f>
        <v>6043624.7740073549</v>
      </c>
    </row>
    <row r="39" spans="1:12" x14ac:dyDescent="0.3">
      <c r="A39" s="47" t="s">
        <v>33</v>
      </c>
      <c r="L39" s="1">
        <v>24640</v>
      </c>
    </row>
    <row r="40" spans="1:12" x14ac:dyDescent="0.3">
      <c r="A40" s="47" t="s">
        <v>34</v>
      </c>
      <c r="L40" s="47">
        <f>L38/L39</f>
        <v>245.2769794645842</v>
      </c>
    </row>
    <row r="48" spans="1:12" x14ac:dyDescent="0.3">
      <c r="I48" s="50"/>
      <c r="K48" s="5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TSLA</vt:lpstr>
      <vt:lpstr>NVDA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진영화</dc:creator>
  <cp:lastModifiedBy>진영화</cp:lastModifiedBy>
  <dcterms:created xsi:type="dcterms:W3CDTF">2025-02-15T11:15:57Z</dcterms:created>
  <dcterms:modified xsi:type="dcterms:W3CDTF">2025-02-16T12:09:38Z</dcterms:modified>
</cp:coreProperties>
</file>